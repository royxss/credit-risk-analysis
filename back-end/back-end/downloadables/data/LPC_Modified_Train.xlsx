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k/Documents/TDG/Git-Master/TrueIdPro/back-end/back-end/downloadables/data/"/>
    </mc:Choice>
  </mc:AlternateContent>
  <xr:revisionPtr revIDLastSave="0" documentId="13_ncr:1_{67E67998-922D-0348-8728-1B51D90F9414}" xr6:coauthVersionLast="45" xr6:coauthVersionMax="45" xr10:uidLastSave="{00000000-0000-0000-0000-000000000000}"/>
  <bookViews>
    <workbookView xWindow="1860" yWindow="2880" windowWidth="30580" windowHeight="17400" xr2:uid="{0CF17A0B-A70D-0248-97EA-695CBD92EE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D81" i="1" l="1"/>
  <c r="AE81" i="1" s="1"/>
  <c r="AD80" i="1"/>
  <c r="AE80" i="1" s="1"/>
  <c r="AE79" i="1"/>
  <c r="AD79" i="1"/>
  <c r="AE78" i="1"/>
  <c r="AD78" i="1"/>
  <c r="AD77" i="1"/>
  <c r="AE77" i="1" s="1"/>
  <c r="AD76" i="1"/>
  <c r="AE76" i="1" s="1"/>
  <c r="AD75" i="1"/>
  <c r="AE75" i="1" s="1"/>
  <c r="AE74" i="1"/>
  <c r="AD74" i="1"/>
  <c r="AD73" i="1"/>
  <c r="AE73" i="1" s="1"/>
  <c r="AD72" i="1"/>
  <c r="AE72" i="1" s="1"/>
  <c r="AD71" i="1"/>
  <c r="AE71" i="1" s="1"/>
  <c r="AE70" i="1"/>
  <c r="AD70" i="1"/>
  <c r="AD69" i="1"/>
  <c r="AE69" i="1" s="1"/>
  <c r="AD68" i="1"/>
  <c r="AE68" i="1" s="1"/>
  <c r="AD67" i="1"/>
  <c r="AE67" i="1" s="1"/>
  <c r="AE66" i="1"/>
  <c r="AD66" i="1"/>
  <c r="AD65" i="1"/>
  <c r="AE65" i="1" s="1"/>
  <c r="AD64" i="1"/>
  <c r="AE64" i="1" s="1"/>
  <c r="AD63" i="1"/>
  <c r="AE63" i="1" s="1"/>
  <c r="AE62" i="1"/>
  <c r="AD62" i="1"/>
  <c r="AD61" i="1"/>
  <c r="AE61" i="1" s="1"/>
  <c r="AD60" i="1"/>
  <c r="AE60" i="1" s="1"/>
  <c r="AD59" i="1"/>
  <c r="AE59" i="1" s="1"/>
  <c r="AE58" i="1"/>
  <c r="AD58" i="1"/>
  <c r="AD57" i="1"/>
  <c r="AE57" i="1" s="1"/>
  <c r="AD56" i="1"/>
  <c r="AE56" i="1" s="1"/>
  <c r="AD55" i="1"/>
  <c r="AE55" i="1" s="1"/>
  <c r="AE54" i="1"/>
  <c r="AD54" i="1"/>
  <c r="AD53" i="1"/>
  <c r="AE53" i="1" s="1"/>
  <c r="AD52" i="1"/>
  <c r="AE52" i="1" s="1"/>
  <c r="AD51" i="1"/>
  <c r="AE51" i="1" s="1"/>
  <c r="AE50" i="1"/>
  <c r="AD50" i="1"/>
  <c r="AD49" i="1"/>
  <c r="AE49" i="1" s="1"/>
  <c r="AD48" i="1"/>
  <c r="AE48" i="1" s="1"/>
  <c r="AD47" i="1"/>
  <c r="AE47" i="1" s="1"/>
  <c r="AE46" i="1"/>
  <c r="AD46" i="1"/>
  <c r="AD45" i="1"/>
  <c r="AE45" i="1" s="1"/>
  <c r="AD44" i="1"/>
  <c r="AE44" i="1" s="1"/>
  <c r="AD43" i="1"/>
  <c r="AE43" i="1" s="1"/>
  <c r="AE42" i="1"/>
  <c r="AD42" i="1"/>
  <c r="AD41" i="1"/>
  <c r="AE41" i="1" s="1"/>
  <c r="AD40" i="1"/>
  <c r="AE40" i="1" s="1"/>
  <c r="AD39" i="1"/>
  <c r="AE39" i="1" s="1"/>
  <c r="AE38" i="1"/>
  <c r="AD38" i="1"/>
  <c r="AD37" i="1"/>
  <c r="AE37" i="1" s="1"/>
  <c r="AE36" i="1"/>
  <c r="AD36" i="1"/>
  <c r="AD35" i="1"/>
  <c r="AE35" i="1" s="1"/>
  <c r="AE34" i="1"/>
  <c r="AD34" i="1"/>
  <c r="AD33" i="1"/>
  <c r="AE33" i="1" s="1"/>
  <c r="AE32" i="1"/>
  <c r="AD32" i="1"/>
  <c r="AD31" i="1"/>
  <c r="AE31" i="1" s="1"/>
  <c r="AE30" i="1"/>
  <c r="AD30" i="1"/>
  <c r="AD29" i="1"/>
  <c r="AE29" i="1" s="1"/>
  <c r="AE28" i="1"/>
  <c r="AD28" i="1"/>
  <c r="AD27" i="1"/>
  <c r="AE27" i="1" s="1"/>
  <c r="AE26" i="1"/>
  <c r="AD26" i="1"/>
  <c r="AD25" i="1"/>
  <c r="AE25" i="1" s="1"/>
  <c r="AD24" i="1"/>
  <c r="AE24" i="1" s="1"/>
  <c r="AD23" i="1"/>
  <c r="AE23" i="1" s="1"/>
  <c r="AE22" i="1"/>
  <c r="AD22" i="1"/>
  <c r="AD21" i="1"/>
  <c r="AE21" i="1" s="1"/>
  <c r="AD20" i="1"/>
  <c r="AE20" i="1" s="1"/>
  <c r="AD19" i="1"/>
  <c r="AE19" i="1" s="1"/>
  <c r="AE18" i="1"/>
  <c r="AD18" i="1"/>
  <c r="AD17" i="1"/>
  <c r="AE17" i="1" s="1"/>
  <c r="AD16" i="1"/>
  <c r="AE16" i="1" s="1"/>
  <c r="AD15" i="1"/>
  <c r="AE15" i="1" s="1"/>
  <c r="AE14" i="1"/>
  <c r="AD14" i="1"/>
  <c r="AD13" i="1"/>
  <c r="AE13" i="1" s="1"/>
  <c r="AD12" i="1"/>
  <c r="AE12" i="1" s="1"/>
  <c r="AD11" i="1"/>
  <c r="AE11" i="1" s="1"/>
  <c r="AE10" i="1"/>
  <c r="AD10" i="1"/>
  <c r="AD9" i="1"/>
  <c r="AE9" i="1" s="1"/>
  <c r="AD8" i="1"/>
  <c r="AE8" i="1" s="1"/>
  <c r="AD7" i="1"/>
  <c r="AE7" i="1" s="1"/>
  <c r="AE6" i="1"/>
  <c r="AD6" i="1"/>
  <c r="AD5" i="1"/>
  <c r="AE5" i="1" s="1"/>
  <c r="AD4" i="1"/>
  <c r="AE4" i="1" s="1"/>
  <c r="AD3" i="1"/>
  <c r="AE3" i="1" s="1"/>
  <c r="AD2" i="1"/>
  <c r="AE2" i="1" s="1"/>
</calcChain>
</file>

<file path=xl/sharedStrings.xml><?xml version="1.0" encoding="utf-8"?>
<sst xmlns="http://schemas.openxmlformats.org/spreadsheetml/2006/main" count="592" uniqueCount="398">
  <si>
    <t>Izzie</t>
  </si>
  <si>
    <t>Flynn</t>
  </si>
  <si>
    <t>39 Race Road</t>
  </si>
  <si>
    <t>Blacksburg</t>
  </si>
  <si>
    <t>VA</t>
  </si>
  <si>
    <t>C</t>
  </si>
  <si>
    <t>1 year</t>
  </si>
  <si>
    <t>Artur</t>
  </si>
  <si>
    <t>Craft</t>
  </si>
  <si>
    <t>981 Primrose Court</t>
  </si>
  <si>
    <t>Dundalk</t>
  </si>
  <si>
    <t>MD</t>
  </si>
  <si>
    <t>10+ years</t>
  </si>
  <si>
    <t>Lorraine</t>
  </si>
  <si>
    <t>Kramer</t>
  </si>
  <si>
    <t>8972 Acacia Rd.</t>
  </si>
  <si>
    <t>Randolph</t>
  </si>
  <si>
    <t>MA</t>
  </si>
  <si>
    <t>D</t>
  </si>
  <si>
    <t>Evalyn</t>
  </si>
  <si>
    <t>Bevan</t>
  </si>
  <si>
    <t>128 South Smith Lane</t>
  </si>
  <si>
    <t>Hermitage</t>
  </si>
  <si>
    <t>TN</t>
  </si>
  <si>
    <t>2 years</t>
  </si>
  <si>
    <t>Matylda</t>
  </si>
  <si>
    <t>Williams</t>
  </si>
  <si>
    <t>589 Fulton Road</t>
  </si>
  <si>
    <t>Desoto</t>
  </si>
  <si>
    <t>TX</t>
  </si>
  <si>
    <t>E</t>
  </si>
  <si>
    <t>Killian</t>
  </si>
  <si>
    <t>Moon</t>
  </si>
  <si>
    <t>72 Sheffield Ave.</t>
  </si>
  <si>
    <t>Sykesville</t>
  </si>
  <si>
    <t>Ritchie</t>
  </si>
  <si>
    <t>Dodson</t>
  </si>
  <si>
    <t>576 Golden Star Ave.</t>
  </si>
  <si>
    <t>Thomasville</t>
  </si>
  <si>
    <t>NC</t>
  </si>
  <si>
    <t>9 years</t>
  </si>
  <si>
    <t>Kit</t>
  </si>
  <si>
    <t>Baldwin</t>
  </si>
  <si>
    <t>8087 Addison St.</t>
  </si>
  <si>
    <t>Owatonna</t>
  </si>
  <si>
    <t>MN</t>
  </si>
  <si>
    <t>6 years</t>
  </si>
  <si>
    <t>Randy</t>
  </si>
  <si>
    <t>Frey</t>
  </si>
  <si>
    <t>7 Cambridge Road</t>
  </si>
  <si>
    <t>Elizabeth City</t>
  </si>
  <si>
    <t>5 years</t>
  </si>
  <si>
    <t>Ariana</t>
  </si>
  <si>
    <t>Nunez</t>
  </si>
  <si>
    <t>8405 Laurel St.</t>
  </si>
  <si>
    <t>Jamaica</t>
  </si>
  <si>
    <t>NY</t>
  </si>
  <si>
    <t>I</t>
  </si>
  <si>
    <t>8 years</t>
  </si>
  <si>
    <t>Amy</t>
  </si>
  <si>
    <t>Dickinson</t>
  </si>
  <si>
    <t>79 Academy Rd.</t>
  </si>
  <si>
    <t>Prior Lake</t>
  </si>
  <si>
    <t>J</t>
  </si>
  <si>
    <t>Momina</t>
  </si>
  <si>
    <t>Potter</t>
  </si>
  <si>
    <t>9494C 10th Street</t>
  </si>
  <si>
    <t>Pomona</t>
  </si>
  <si>
    <t>CA</t>
  </si>
  <si>
    <t>3 years</t>
  </si>
  <si>
    <t>Jose</t>
  </si>
  <si>
    <t>Pitts</t>
  </si>
  <si>
    <t>19 Rockwell Drive</t>
  </si>
  <si>
    <t>Lockport</t>
  </si>
  <si>
    <t>Patrik</t>
  </si>
  <si>
    <t>Ali</t>
  </si>
  <si>
    <t>9051 West Ridgeview St.</t>
  </si>
  <si>
    <t>Schererville</t>
  </si>
  <si>
    <t>IN</t>
  </si>
  <si>
    <t>O</t>
  </si>
  <si>
    <t>Precious</t>
  </si>
  <si>
    <t>Marshall</t>
  </si>
  <si>
    <t>9905 Mammoth Avenue</t>
  </si>
  <si>
    <t>New Berlin</t>
  </si>
  <si>
    <t>WI</t>
  </si>
  <si>
    <t>Suleman</t>
  </si>
  <si>
    <t>Christie</t>
  </si>
  <si>
    <t>7212 Ramblewood Court</t>
  </si>
  <si>
    <t>Grosse Pointe</t>
  </si>
  <si>
    <t>MI</t>
  </si>
  <si>
    <t>Adrianna</t>
  </si>
  <si>
    <t>Braun</t>
  </si>
  <si>
    <t>494 Whitemarsh Lane</t>
  </si>
  <si>
    <t>East Brunswick</t>
  </si>
  <si>
    <t>NJ</t>
  </si>
  <si>
    <t>Joan</t>
  </si>
  <si>
    <t>Robins</t>
  </si>
  <si>
    <t>696 Jefferson St.</t>
  </si>
  <si>
    <t>Toms River</t>
  </si>
  <si>
    <t>Kristy</t>
  </si>
  <si>
    <t>Morrow</t>
  </si>
  <si>
    <t>488 Alderwood Court</t>
  </si>
  <si>
    <t>Indian Trail</t>
  </si>
  <si>
    <t>4 years</t>
  </si>
  <si>
    <t>Efa</t>
  </si>
  <si>
    <t>Joyner</t>
  </si>
  <si>
    <t>86 Myers Lane</t>
  </si>
  <si>
    <t>Hixson</t>
  </si>
  <si>
    <t>Elize</t>
  </si>
  <si>
    <t>Krueger</t>
  </si>
  <si>
    <t>7868 Oxford Ave.</t>
  </si>
  <si>
    <t>Altoona</t>
  </si>
  <si>
    <t>PA</t>
  </si>
  <si>
    <t>G</t>
  </si>
  <si>
    <t>Kayden</t>
  </si>
  <si>
    <t>Ballard</t>
  </si>
  <si>
    <t>55 Manhattan Street</t>
  </si>
  <si>
    <t>Saint Johns</t>
  </si>
  <si>
    <t>FL</t>
  </si>
  <si>
    <t>Katerina</t>
  </si>
  <si>
    <t>Salgado</t>
  </si>
  <si>
    <t>7815 Maiden Ave.</t>
  </si>
  <si>
    <t>Glen Ellyn</t>
  </si>
  <si>
    <t>IL</t>
  </si>
  <si>
    <t>Nakita</t>
  </si>
  <si>
    <t>Matthams</t>
  </si>
  <si>
    <t>946 Gartner St.</t>
  </si>
  <si>
    <t>Ponte Vedra Beach</t>
  </si>
  <si>
    <t>F</t>
  </si>
  <si>
    <t>Evie-Mae</t>
  </si>
  <si>
    <t>Cullen</t>
  </si>
  <si>
    <t>999 Thompson St.</t>
  </si>
  <si>
    <t>Palm City</t>
  </si>
  <si>
    <t>Danielius</t>
  </si>
  <si>
    <t>Sellers</t>
  </si>
  <si>
    <t>312 Sycamore Court</t>
  </si>
  <si>
    <t>Westfield</t>
  </si>
  <si>
    <t>Asad</t>
  </si>
  <si>
    <t>Thomas</t>
  </si>
  <si>
    <t>593 Boston St.</t>
  </si>
  <si>
    <t>Downingtown</t>
  </si>
  <si>
    <t>Shamima</t>
  </si>
  <si>
    <t>Mcknight</t>
  </si>
  <si>
    <t>564 Gregory St.</t>
  </si>
  <si>
    <t>Wilkes Barre</t>
  </si>
  <si>
    <t>&lt; 1 year</t>
  </si>
  <si>
    <t>Garrett</t>
  </si>
  <si>
    <t>Terrell</t>
  </si>
  <si>
    <t>979 Valley View Ave.</t>
  </si>
  <si>
    <t>Burbank</t>
  </si>
  <si>
    <t>Brenna</t>
  </si>
  <si>
    <t>Field</t>
  </si>
  <si>
    <t>39 Saxon Lane</t>
  </si>
  <si>
    <t>Chester</t>
  </si>
  <si>
    <t>Matthew</t>
  </si>
  <si>
    <t>Hooper</t>
  </si>
  <si>
    <t>50 Glen Ridge Dr.</t>
  </si>
  <si>
    <t>Reading</t>
  </si>
  <si>
    <t>7 years</t>
  </si>
  <si>
    <t>Lilly</t>
  </si>
  <si>
    <t>Mclaughlin</t>
  </si>
  <si>
    <t>17 Pheasant Ave.</t>
  </si>
  <si>
    <t>Enfield</t>
  </si>
  <si>
    <t>CT</t>
  </si>
  <si>
    <t>Zackary</t>
  </si>
  <si>
    <t>Mccall</t>
  </si>
  <si>
    <t>8840 South Columbia St.</t>
  </si>
  <si>
    <t>Dallas</t>
  </si>
  <si>
    <t>GA</t>
  </si>
  <si>
    <t>Huey</t>
  </si>
  <si>
    <t>Bate</t>
  </si>
  <si>
    <t>718 Border Lane</t>
  </si>
  <si>
    <t>Elizabethton</t>
  </si>
  <si>
    <t>Maria</t>
  </si>
  <si>
    <t>Read</t>
  </si>
  <si>
    <t>603 Blackburn Lane</t>
  </si>
  <si>
    <t>Chicago</t>
  </si>
  <si>
    <t>Jon-Paul</t>
  </si>
  <si>
    <t>Dupont</t>
  </si>
  <si>
    <t>669 Johnson Street</t>
  </si>
  <si>
    <t>Brunswick</t>
  </si>
  <si>
    <t>Arisha</t>
  </si>
  <si>
    <t>Walton</t>
  </si>
  <si>
    <t>8 Shore Street</t>
  </si>
  <si>
    <t>Portland</t>
  </si>
  <si>
    <t>ME</t>
  </si>
  <si>
    <t>Neha</t>
  </si>
  <si>
    <t>Beck</t>
  </si>
  <si>
    <t>86 Rockcrest Street</t>
  </si>
  <si>
    <t>Warminster</t>
  </si>
  <si>
    <t>Beverly</t>
  </si>
  <si>
    <t>Fry</t>
  </si>
  <si>
    <t>71 Homestead Ave.</t>
  </si>
  <si>
    <t>Framingham</t>
  </si>
  <si>
    <t>Aasiyah</t>
  </si>
  <si>
    <t>Weir</t>
  </si>
  <si>
    <t>887 Hillcrest Ave.</t>
  </si>
  <si>
    <t>Roselle</t>
  </si>
  <si>
    <t>Arissa</t>
  </si>
  <si>
    <t>Wagstaff</t>
  </si>
  <si>
    <t>9041 Cemetery Avenue</t>
  </si>
  <si>
    <t>Temple Hills</t>
  </si>
  <si>
    <t>Daanish</t>
  </si>
  <si>
    <t>Benitez</t>
  </si>
  <si>
    <t>27 Chestnut Street</t>
  </si>
  <si>
    <t>Wyandotte</t>
  </si>
  <si>
    <t>Reem</t>
  </si>
  <si>
    <t>Graves</t>
  </si>
  <si>
    <t>326 Edgefield Street</t>
  </si>
  <si>
    <t>Littleton</t>
  </si>
  <si>
    <t>CO</t>
  </si>
  <si>
    <t>Ruairi</t>
  </si>
  <si>
    <t>Brooks</t>
  </si>
  <si>
    <t>768 Buckingham St.</t>
  </si>
  <si>
    <t>Rolling Meadows</t>
  </si>
  <si>
    <t>Emaan</t>
  </si>
  <si>
    <t>Hardy</t>
  </si>
  <si>
    <t>8699 Evergreen St.</t>
  </si>
  <si>
    <t>Fullerton</t>
  </si>
  <si>
    <t>Ann</t>
  </si>
  <si>
    <t>Dunlap</t>
  </si>
  <si>
    <t>8478 Snake Hill Ave.</t>
  </si>
  <si>
    <t>Valrico</t>
  </si>
  <si>
    <t>Theia</t>
  </si>
  <si>
    <t>Cole</t>
  </si>
  <si>
    <t>632 Ryan Drive</t>
  </si>
  <si>
    <t>Beckley</t>
  </si>
  <si>
    <t>WV</t>
  </si>
  <si>
    <t>Margie</t>
  </si>
  <si>
    <t>Small</t>
  </si>
  <si>
    <t>9401 Old Bay Meadows Street</t>
  </si>
  <si>
    <t>Dubuque</t>
  </si>
  <si>
    <t>IA</t>
  </si>
  <si>
    <t>Tierney</t>
  </si>
  <si>
    <t>Couch</t>
  </si>
  <si>
    <t>8 Virginia Drive</t>
  </si>
  <si>
    <t>Anoka</t>
  </si>
  <si>
    <t>H</t>
  </si>
  <si>
    <t>Darci</t>
  </si>
  <si>
    <t>Vo</t>
  </si>
  <si>
    <t>530 Birchpond Ave.</t>
  </si>
  <si>
    <t>Bensalem</t>
  </si>
  <si>
    <t>Dante</t>
  </si>
  <si>
    <t>Healy</t>
  </si>
  <si>
    <t>67 Olive Street</t>
  </si>
  <si>
    <t>Windsor Mill</t>
  </si>
  <si>
    <t>Danika</t>
  </si>
  <si>
    <t>Norris</t>
  </si>
  <si>
    <t>7635 Strawberry Ave.</t>
  </si>
  <si>
    <t>Pearl</t>
  </si>
  <si>
    <t>MS</t>
  </si>
  <si>
    <t>Miyah</t>
  </si>
  <si>
    <t>Curry</t>
  </si>
  <si>
    <t>789 Walt Whitman Ave.</t>
  </si>
  <si>
    <t>Jenison</t>
  </si>
  <si>
    <t>Benedict</t>
  </si>
  <si>
    <t>Waters</t>
  </si>
  <si>
    <t>7641 North County St.</t>
  </si>
  <si>
    <t>Mays Landing</t>
  </si>
  <si>
    <t>Aalia</t>
  </si>
  <si>
    <t>Turner</t>
  </si>
  <si>
    <t>865 Rockaway St.</t>
  </si>
  <si>
    <t>Bridgewater</t>
  </si>
  <si>
    <t>Kirby</t>
  </si>
  <si>
    <t>Murillo</t>
  </si>
  <si>
    <t>547 Lancaster St.</t>
  </si>
  <si>
    <t>Cape Coral</t>
  </si>
  <si>
    <t>Alister</t>
  </si>
  <si>
    <t>Bautista</t>
  </si>
  <si>
    <t>771 Lyme Ave.</t>
  </si>
  <si>
    <t>Potomac</t>
  </si>
  <si>
    <t>Garry</t>
  </si>
  <si>
    <t>Rocha</t>
  </si>
  <si>
    <t>346 Prospect Ave.</t>
  </si>
  <si>
    <t>Carol Stream</t>
  </si>
  <si>
    <t>Ivie</t>
  </si>
  <si>
    <t>Morley</t>
  </si>
  <si>
    <t>9374 N. Amherst Rd.</t>
  </si>
  <si>
    <t>Fairhope</t>
  </si>
  <si>
    <t>AL</t>
  </si>
  <si>
    <t>Julia</t>
  </si>
  <si>
    <t>Brett</t>
  </si>
  <si>
    <t>7888 Oakland Court</t>
  </si>
  <si>
    <t>Chambersburg</t>
  </si>
  <si>
    <t>Isis</t>
  </si>
  <si>
    <t>Barr</t>
  </si>
  <si>
    <t>7538 Brown St.</t>
  </si>
  <si>
    <t>Springfield Gardens</t>
  </si>
  <si>
    <t>Mackenzie</t>
  </si>
  <si>
    <t>Sears</t>
  </si>
  <si>
    <t>14 Woodside St.</t>
  </si>
  <si>
    <t>West Des Moines</t>
  </si>
  <si>
    <t>Tayah</t>
  </si>
  <si>
    <t>Gamble</t>
  </si>
  <si>
    <t>7396 South Santa Clara St.</t>
  </si>
  <si>
    <t>Clinton Township</t>
  </si>
  <si>
    <t>Liu</t>
  </si>
  <si>
    <t>8663 Myers St.</t>
  </si>
  <si>
    <t>Mount Holly</t>
  </si>
  <si>
    <t>Kingston</t>
  </si>
  <si>
    <t>Beard</t>
  </si>
  <si>
    <t>83 East Bedford Drive</t>
  </si>
  <si>
    <t>Zionsville</t>
  </si>
  <si>
    <t>Ceara</t>
  </si>
  <si>
    <t>Stein</t>
  </si>
  <si>
    <t>58 Linda Rd.</t>
  </si>
  <si>
    <t>Leesburg</t>
  </si>
  <si>
    <t>Caius</t>
  </si>
  <si>
    <t>Bowden</t>
  </si>
  <si>
    <t>7006 Windsor Ave.</t>
  </si>
  <si>
    <t>Wheeling</t>
  </si>
  <si>
    <t>Pearce</t>
  </si>
  <si>
    <t>Duncan</t>
  </si>
  <si>
    <t>8 Trusel St.</t>
  </si>
  <si>
    <t>Vernon Rockville</t>
  </si>
  <si>
    <t>Shayan</t>
  </si>
  <si>
    <t>Lacey</t>
  </si>
  <si>
    <t>718 West Devonshire St.</t>
  </si>
  <si>
    <t>Millington</t>
  </si>
  <si>
    <t>Mathew</t>
  </si>
  <si>
    <t>Clark</t>
  </si>
  <si>
    <t>73 Henry Smith Street</t>
  </si>
  <si>
    <t>Oak Ridge</t>
  </si>
  <si>
    <t>Kieron</t>
  </si>
  <si>
    <t>West</t>
  </si>
  <si>
    <t>818 Lakewood Street</t>
  </si>
  <si>
    <t>Bartlett</t>
  </si>
  <si>
    <t>Marcie</t>
  </si>
  <si>
    <t>Cain</t>
  </si>
  <si>
    <t>7403 Big Rock Cove St.</t>
  </si>
  <si>
    <t>Camas</t>
  </si>
  <si>
    <t>WA</t>
  </si>
  <si>
    <t>Kelise</t>
  </si>
  <si>
    <t>Lamb</t>
  </si>
  <si>
    <t>161 Smoky Hollow Drive</t>
  </si>
  <si>
    <t>Hopkinsville</t>
  </si>
  <si>
    <t>KY</t>
  </si>
  <si>
    <t>Sol</t>
  </si>
  <si>
    <t>Hester</t>
  </si>
  <si>
    <t>7278 Summer St.</t>
  </si>
  <si>
    <t>Gastonia</t>
  </si>
  <si>
    <t>Ricky</t>
  </si>
  <si>
    <t>Huffman</t>
  </si>
  <si>
    <t>3 N. Schoolhouse Lane</t>
  </si>
  <si>
    <t>Plainfield</t>
  </si>
  <si>
    <t>Carolina</t>
  </si>
  <si>
    <t>Calvert</t>
  </si>
  <si>
    <t>7848 Stillwater Street</t>
  </si>
  <si>
    <t>Mankato</t>
  </si>
  <si>
    <t>Falak</t>
  </si>
  <si>
    <t>Cunningham</t>
  </si>
  <si>
    <t>7 Pawnee Avenue</t>
  </si>
  <si>
    <t>Hightstown</t>
  </si>
  <si>
    <t>Derek</t>
  </si>
  <si>
    <t>Denton</t>
  </si>
  <si>
    <t>50 Van Dyke Drive</t>
  </si>
  <si>
    <t>Canonsburg</t>
  </si>
  <si>
    <t>Emerson</t>
  </si>
  <si>
    <t>Justice</t>
  </si>
  <si>
    <t>427 Aspen Street</t>
  </si>
  <si>
    <t>Enterprise</t>
  </si>
  <si>
    <t>Lili</t>
  </si>
  <si>
    <t>Grant</t>
  </si>
  <si>
    <t>9177 Shipley Drive</t>
  </si>
  <si>
    <t>Maineville</t>
  </si>
  <si>
    <t>OH</t>
  </si>
  <si>
    <t>Id</t>
  </si>
  <si>
    <t>First Name</t>
  </si>
  <si>
    <t>Last Name</t>
  </si>
  <si>
    <t>Address 1</t>
  </si>
  <si>
    <t xml:space="preserve">City </t>
  </si>
  <si>
    <t xml:space="preserve">State </t>
  </si>
  <si>
    <t>00Zip</t>
  </si>
  <si>
    <t>ScoreBucket</t>
  </si>
  <si>
    <t>StudentLoanQty</t>
  </si>
  <si>
    <t>StudentLoanBal</t>
  </si>
  <si>
    <t>StudentLoanDel</t>
  </si>
  <si>
    <t>CreditCardQty</t>
  </si>
  <si>
    <t>CreditCardBal</t>
  </si>
  <si>
    <t>CreditCardDel</t>
  </si>
  <si>
    <t>AutoLoanQty</t>
  </si>
  <si>
    <t>AutoLoanBal</t>
  </si>
  <si>
    <t>AutoLoanDel</t>
  </si>
  <si>
    <t>MortgageQty</t>
  </si>
  <si>
    <t>MortgageBal</t>
  </si>
  <si>
    <t>MortgageDel</t>
  </si>
  <si>
    <t>OtherQty</t>
  </si>
  <si>
    <t>OtherBal</t>
  </si>
  <si>
    <t>OtherDel</t>
  </si>
  <si>
    <t>Years_in_current_job</t>
  </si>
  <si>
    <t>Years_of_Credit_History</t>
  </si>
  <si>
    <t>Months_since_last_delinquent</t>
  </si>
  <si>
    <t>Maximum_Open_Credit</t>
  </si>
  <si>
    <t>Monthly_Income</t>
  </si>
  <si>
    <t>Debt_Ratio</t>
  </si>
  <si>
    <t>Loan_Status</t>
  </si>
  <si>
    <t>Montthly_Debt</t>
  </si>
  <si>
    <t>Annual_Income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</si>
</sst>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4D2B4-F73F-4E40-AEC5-289C4D13A1E0}">
  <dimension ref="A1:AF81"/>
  <sheetViews>
    <sheetView tabSelected="1" topLeftCell="Q1" zoomScale="120" zoomScaleNormal="120" workbookViewId="0">
      <selection activeCell="X2" sqref="X2"/>
    </sheetView>
  </sheetViews>
  <sheetFormatPr baseColWidth="10" defaultRowHeight="16" x14ac:dyDescent="0.2"/>
  <sheetData>
    <row r="1" spans="1:32" x14ac:dyDescent="0.2">
      <c r="A1" s="1" t="s">
        <v>366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385</v>
      </c>
      <c r="U1" s="1" t="s">
        <v>386</v>
      </c>
      <c r="V1" s="1" t="s">
        <v>387</v>
      </c>
      <c r="W1" s="1" t="s">
        <v>388</v>
      </c>
      <c r="X1" s="1" t="s">
        <v>397</v>
      </c>
      <c r="Y1" s="1" t="s">
        <v>389</v>
      </c>
      <c r="Z1" s="1" t="s">
        <v>396</v>
      </c>
      <c r="AA1" s="1" t="s">
        <v>390</v>
      </c>
      <c r="AB1" s="1" t="s">
        <v>391</v>
      </c>
      <c r="AC1" s="1" t="s">
        <v>392</v>
      </c>
      <c r="AD1" s="1" t="s">
        <v>393</v>
      </c>
      <c r="AE1" s="1" t="s">
        <v>394</v>
      </c>
      <c r="AF1" s="1" t="s">
        <v>395</v>
      </c>
    </row>
    <row r="2" spans="1:32" x14ac:dyDescent="0.2">
      <c r="A2" s="1">
        <v>21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>
        <v>24060</v>
      </c>
      <c r="H2" s="1" t="s">
        <v>5</v>
      </c>
      <c r="I2" s="1">
        <v>1</v>
      </c>
      <c r="J2" s="1">
        <v>215094</v>
      </c>
      <c r="K2" s="1">
        <v>0</v>
      </c>
      <c r="L2" s="1">
        <v>16</v>
      </c>
      <c r="M2" s="1">
        <v>8246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3548079</v>
      </c>
      <c r="Y2" s="1" t="s">
        <v>6</v>
      </c>
      <c r="Z2" s="1">
        <v>36072.07</v>
      </c>
      <c r="AA2" s="1">
        <v>29.4</v>
      </c>
      <c r="AB2" s="1">
        <v>49</v>
      </c>
      <c r="AC2" s="1">
        <v>382008</v>
      </c>
      <c r="AD2" s="2">
        <f t="shared" ref="AD2:AD65" si="0">X2/12</f>
        <v>295673.25</v>
      </c>
      <c r="AE2" s="3">
        <f t="shared" ref="AE2:AE65" si="1">Z2/AD2</f>
        <v>0.12199977508956254</v>
      </c>
      <c r="AF2">
        <v>1</v>
      </c>
    </row>
    <row r="3" spans="1:32" x14ac:dyDescent="0.2">
      <c r="A3" s="1">
        <v>22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>
        <v>21222</v>
      </c>
      <c r="H3" s="1" t="s">
        <v>5</v>
      </c>
      <c r="I3" s="1">
        <v>1</v>
      </c>
      <c r="J3" s="1">
        <v>156068</v>
      </c>
      <c r="K3" s="1">
        <v>0</v>
      </c>
      <c r="L3" s="1">
        <v>10</v>
      </c>
      <c r="M3" s="1">
        <v>28823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767543</v>
      </c>
      <c r="Y3" s="1" t="s">
        <v>12</v>
      </c>
      <c r="Z3" s="1">
        <v>11852.2</v>
      </c>
      <c r="AA3" s="1">
        <v>23.3</v>
      </c>
      <c r="AB3" s="1">
        <v>3</v>
      </c>
      <c r="AC3" s="1">
        <v>370898</v>
      </c>
      <c r="AD3" s="2">
        <f t="shared" si="0"/>
        <v>63961.916666666664</v>
      </c>
      <c r="AE3" s="3">
        <f t="shared" si="1"/>
        <v>0.18530088867985248</v>
      </c>
      <c r="AF3">
        <v>1</v>
      </c>
    </row>
    <row r="4" spans="1:32" x14ac:dyDescent="0.2">
      <c r="A4" s="1">
        <v>23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>
        <v>2368</v>
      </c>
      <c r="H4" s="1" t="s">
        <v>18</v>
      </c>
      <c r="I4" s="1">
        <v>0</v>
      </c>
      <c r="J4" s="1">
        <v>0</v>
      </c>
      <c r="K4" s="1">
        <v>0</v>
      </c>
      <c r="L4" s="1">
        <v>13</v>
      </c>
      <c r="M4" s="1">
        <v>113164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  <c r="V4" s="1">
        <v>150766</v>
      </c>
      <c r="W4" s="1">
        <v>0</v>
      </c>
      <c r="X4" s="1">
        <v>3627195</v>
      </c>
      <c r="Y4" s="1" t="s">
        <v>12</v>
      </c>
      <c r="Z4" s="1">
        <v>33551.53</v>
      </c>
      <c r="AA4" s="1">
        <v>28.7</v>
      </c>
      <c r="AB4" s="1">
        <v>12</v>
      </c>
      <c r="AC4" s="1">
        <v>144298</v>
      </c>
      <c r="AD4" s="2">
        <f t="shared" si="0"/>
        <v>302266.25</v>
      </c>
      <c r="AE4" s="3">
        <f t="shared" si="1"/>
        <v>0.11099992142688772</v>
      </c>
      <c r="AF4">
        <v>1</v>
      </c>
    </row>
    <row r="5" spans="1:32" x14ac:dyDescent="0.2">
      <c r="A5" s="1">
        <v>24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>
        <v>37076</v>
      </c>
      <c r="H5" s="1" t="s">
        <v>18</v>
      </c>
      <c r="I5" s="1">
        <v>1</v>
      </c>
      <c r="J5" s="1">
        <v>33330</v>
      </c>
      <c r="K5" s="1">
        <v>0</v>
      </c>
      <c r="L5" s="1">
        <v>9</v>
      </c>
      <c r="M5" s="1">
        <v>198892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686679</v>
      </c>
      <c r="Y5" s="1" t="s">
        <v>24</v>
      </c>
      <c r="Z5" s="1">
        <v>7668.02</v>
      </c>
      <c r="AA5" s="1">
        <v>20.6</v>
      </c>
      <c r="AB5" s="1">
        <v>59</v>
      </c>
      <c r="AC5" s="1">
        <v>324346</v>
      </c>
      <c r="AD5" s="2">
        <f t="shared" si="0"/>
        <v>57223.25</v>
      </c>
      <c r="AE5" s="3">
        <f t="shared" si="1"/>
        <v>0.1340018261807919</v>
      </c>
      <c r="AF5">
        <v>1</v>
      </c>
    </row>
    <row r="6" spans="1:32" x14ac:dyDescent="0.2">
      <c r="A6" s="1">
        <v>25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  <c r="G6" s="1">
        <v>75115</v>
      </c>
      <c r="H6" s="1" t="s">
        <v>30</v>
      </c>
      <c r="I6" s="1">
        <v>0</v>
      </c>
      <c r="J6" s="1">
        <v>0</v>
      </c>
      <c r="K6" s="1">
        <v>0</v>
      </c>
      <c r="L6" s="1">
        <v>11</v>
      </c>
      <c r="M6" s="1">
        <v>612617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</v>
      </c>
      <c r="V6" s="1">
        <v>465366</v>
      </c>
      <c r="W6" s="1">
        <v>0</v>
      </c>
      <c r="X6" s="1">
        <v>1913870</v>
      </c>
      <c r="Y6" s="1" t="s">
        <v>24</v>
      </c>
      <c r="Z6" s="1">
        <v>28708.05</v>
      </c>
      <c r="AA6" s="1">
        <v>17.100000000000001</v>
      </c>
      <c r="AB6" s="1">
        <v>46</v>
      </c>
      <c r="AC6" s="1">
        <v>789030</v>
      </c>
      <c r="AD6" s="2">
        <f t="shared" si="0"/>
        <v>159489.16666666666</v>
      </c>
      <c r="AE6" s="3">
        <f t="shared" si="1"/>
        <v>0.18</v>
      </c>
      <c r="AF6">
        <v>0</v>
      </c>
    </row>
    <row r="7" spans="1:32" x14ac:dyDescent="0.2">
      <c r="A7" s="1">
        <v>26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11</v>
      </c>
      <c r="G7" s="1">
        <v>21784</v>
      </c>
      <c r="H7" s="1" t="s">
        <v>30</v>
      </c>
      <c r="I7" s="1">
        <v>0</v>
      </c>
      <c r="J7" s="1">
        <v>0</v>
      </c>
      <c r="K7" s="1">
        <v>0</v>
      </c>
      <c r="L7" s="1">
        <v>5</v>
      </c>
      <c r="M7" s="1">
        <v>26657</v>
      </c>
      <c r="N7" s="1">
        <v>1</v>
      </c>
      <c r="O7" s="1">
        <v>1</v>
      </c>
      <c r="P7" s="1">
        <v>287078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2097942</v>
      </c>
      <c r="Y7" s="1" t="s">
        <v>24</v>
      </c>
      <c r="Z7" s="1">
        <v>17290.57</v>
      </c>
      <c r="AA7" s="1">
        <v>19.3</v>
      </c>
      <c r="AB7" s="1">
        <v>76</v>
      </c>
      <c r="AC7" s="1">
        <v>130262</v>
      </c>
      <c r="AD7" s="2">
        <f t="shared" si="0"/>
        <v>174828.5</v>
      </c>
      <c r="AE7" s="3">
        <f t="shared" si="1"/>
        <v>9.8900179318589354E-2</v>
      </c>
      <c r="AF7">
        <v>1</v>
      </c>
    </row>
    <row r="8" spans="1:32" x14ac:dyDescent="0.2">
      <c r="A8" s="1">
        <v>27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39</v>
      </c>
      <c r="G8" s="1">
        <v>27360</v>
      </c>
      <c r="H8" s="1" t="s">
        <v>18</v>
      </c>
      <c r="I8" s="1">
        <v>0</v>
      </c>
      <c r="J8" s="1">
        <v>0</v>
      </c>
      <c r="K8" s="1">
        <v>0</v>
      </c>
      <c r="L8" s="1">
        <v>9</v>
      </c>
      <c r="M8" s="1">
        <v>153216</v>
      </c>
      <c r="N8" s="1">
        <v>1</v>
      </c>
      <c r="O8" s="1">
        <v>0</v>
      </c>
      <c r="P8" s="1">
        <v>0</v>
      </c>
      <c r="Q8" s="1">
        <v>0</v>
      </c>
      <c r="R8" s="1">
        <v>1</v>
      </c>
      <c r="S8" s="1">
        <v>268928</v>
      </c>
      <c r="T8" s="1">
        <v>0</v>
      </c>
      <c r="U8" s="1">
        <v>0</v>
      </c>
      <c r="V8" s="1">
        <v>0</v>
      </c>
      <c r="W8" s="1">
        <v>0</v>
      </c>
      <c r="X8" s="1">
        <v>1838763</v>
      </c>
      <c r="Y8" s="1" t="s">
        <v>40</v>
      </c>
      <c r="Z8" s="1">
        <v>21299</v>
      </c>
      <c r="AA8" s="1">
        <v>19.899999999999999</v>
      </c>
      <c r="AB8" s="1">
        <v>66</v>
      </c>
      <c r="AC8" s="1">
        <v>335984</v>
      </c>
      <c r="AD8" s="2">
        <f t="shared" si="0"/>
        <v>153230.25</v>
      </c>
      <c r="AE8" s="3">
        <f t="shared" si="1"/>
        <v>0.13899996900089898</v>
      </c>
      <c r="AF8">
        <v>0</v>
      </c>
    </row>
    <row r="9" spans="1:32" x14ac:dyDescent="0.2">
      <c r="A9" s="1">
        <v>28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  <c r="G9" s="1">
        <v>55060</v>
      </c>
      <c r="H9" s="1" t="s">
        <v>5</v>
      </c>
      <c r="I9" s="1">
        <v>0</v>
      </c>
      <c r="J9" s="1">
        <v>0</v>
      </c>
      <c r="K9" s="1">
        <v>0</v>
      </c>
      <c r="L9" s="1">
        <v>8</v>
      </c>
      <c r="M9" s="1">
        <v>275538</v>
      </c>
      <c r="N9" s="1">
        <v>0</v>
      </c>
      <c r="O9" s="1">
        <v>1</v>
      </c>
      <c r="P9" s="1">
        <v>121814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1243284</v>
      </c>
      <c r="Y9" s="1" t="s">
        <v>46</v>
      </c>
      <c r="Z9" s="1">
        <v>10360.700000000001</v>
      </c>
      <c r="AA9" s="1">
        <v>18.7</v>
      </c>
      <c r="AB9" s="1">
        <v>10</v>
      </c>
      <c r="AC9" s="1">
        <v>409552</v>
      </c>
      <c r="AD9" s="2">
        <f t="shared" si="0"/>
        <v>103607</v>
      </c>
      <c r="AE9" s="3">
        <f t="shared" si="1"/>
        <v>0.1</v>
      </c>
      <c r="AF9">
        <v>0</v>
      </c>
    </row>
    <row r="10" spans="1:32" x14ac:dyDescent="0.2">
      <c r="A10" s="1">
        <v>29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39</v>
      </c>
      <c r="G10" s="1">
        <v>27909</v>
      </c>
      <c r="H10" s="1" t="s">
        <v>18</v>
      </c>
      <c r="I10" s="1">
        <v>0</v>
      </c>
      <c r="J10" s="1">
        <v>0</v>
      </c>
      <c r="K10" s="1">
        <v>0</v>
      </c>
      <c r="L10" s="1">
        <v>11</v>
      </c>
      <c r="M10" s="1">
        <v>67830</v>
      </c>
      <c r="N10" s="1">
        <v>0</v>
      </c>
      <c r="O10" s="1">
        <v>1</v>
      </c>
      <c r="P10" s="1">
        <v>446468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3084688</v>
      </c>
      <c r="Y10" s="1" t="s">
        <v>51</v>
      </c>
      <c r="Z10" s="1">
        <v>3933</v>
      </c>
      <c r="AA10" s="1">
        <v>15.4</v>
      </c>
      <c r="AB10" s="1">
        <v>20</v>
      </c>
      <c r="AC10" s="1">
        <v>487784</v>
      </c>
      <c r="AD10" s="2">
        <f t="shared" si="0"/>
        <v>257057.33333333334</v>
      </c>
      <c r="AE10" s="3">
        <f t="shared" si="1"/>
        <v>1.5300088696166354E-2</v>
      </c>
      <c r="AF10">
        <v>1</v>
      </c>
    </row>
    <row r="11" spans="1:32" x14ac:dyDescent="0.2">
      <c r="A11" s="1">
        <v>30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56</v>
      </c>
      <c r="G11" s="1">
        <v>11432</v>
      </c>
      <c r="H11" s="1" t="s">
        <v>57</v>
      </c>
      <c r="I11" s="1">
        <v>0</v>
      </c>
      <c r="J11" s="1">
        <v>0</v>
      </c>
      <c r="K11" s="1">
        <v>0</v>
      </c>
      <c r="L11" s="1">
        <v>11</v>
      </c>
      <c r="M11" s="1">
        <v>146661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</v>
      </c>
      <c r="V11" s="1">
        <v>376970</v>
      </c>
      <c r="W11" s="1">
        <v>0</v>
      </c>
      <c r="X11" s="1">
        <v>1230763</v>
      </c>
      <c r="Y11" s="1" t="s">
        <v>58</v>
      </c>
      <c r="Z11" s="1">
        <v>19281.96</v>
      </c>
      <c r="AA11" s="1">
        <v>32.1</v>
      </c>
      <c r="AB11" s="1">
        <v>22</v>
      </c>
      <c r="AC11" s="1">
        <v>998976</v>
      </c>
      <c r="AD11" s="2">
        <f t="shared" si="0"/>
        <v>102563.58333333333</v>
      </c>
      <c r="AE11" s="3">
        <f t="shared" si="1"/>
        <v>0.18800006175031261</v>
      </c>
      <c r="AF11">
        <v>1</v>
      </c>
    </row>
    <row r="12" spans="1:32" x14ac:dyDescent="0.2">
      <c r="A12" s="1">
        <v>31</v>
      </c>
      <c r="B12" s="1" t="s">
        <v>59</v>
      </c>
      <c r="C12" s="1" t="s">
        <v>60</v>
      </c>
      <c r="D12" s="1" t="s">
        <v>61</v>
      </c>
      <c r="E12" s="1" t="s">
        <v>62</v>
      </c>
      <c r="F12" s="1" t="s">
        <v>45</v>
      </c>
      <c r="G12" s="1">
        <v>55372</v>
      </c>
      <c r="H12" s="1" t="s">
        <v>63</v>
      </c>
      <c r="I12" s="1">
        <v>1</v>
      </c>
      <c r="J12" s="1">
        <v>67144</v>
      </c>
      <c r="K12" s="1">
        <v>0</v>
      </c>
      <c r="L12" s="1">
        <v>30</v>
      </c>
      <c r="M12" s="1">
        <v>574997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2802671</v>
      </c>
      <c r="Y12" s="1" t="s">
        <v>58</v>
      </c>
      <c r="Z12" s="1">
        <v>46711.12</v>
      </c>
      <c r="AA12" s="1">
        <v>36.1</v>
      </c>
      <c r="AB12" s="1">
        <v>21</v>
      </c>
      <c r="AC12" s="1">
        <v>1297802</v>
      </c>
      <c r="AD12" s="2">
        <f t="shared" si="0"/>
        <v>233555.91666666666</v>
      </c>
      <c r="AE12" s="3">
        <f t="shared" si="1"/>
        <v>0.19999972883010531</v>
      </c>
      <c r="AF12">
        <v>1</v>
      </c>
    </row>
    <row r="13" spans="1:32" x14ac:dyDescent="0.2">
      <c r="A13" s="1">
        <v>32</v>
      </c>
      <c r="B13" s="1" t="s">
        <v>64</v>
      </c>
      <c r="C13" s="1" t="s">
        <v>65</v>
      </c>
      <c r="D13" s="1" t="s">
        <v>66</v>
      </c>
      <c r="E13" s="1" t="s">
        <v>67</v>
      </c>
      <c r="F13" s="1" t="s">
        <v>68</v>
      </c>
      <c r="G13" s="1">
        <v>91768</v>
      </c>
      <c r="H13" s="1" t="s">
        <v>18</v>
      </c>
      <c r="I13" s="1">
        <v>0</v>
      </c>
      <c r="J13" s="1">
        <v>0</v>
      </c>
      <c r="K13" s="1">
        <v>0</v>
      </c>
      <c r="L13" s="1">
        <v>14</v>
      </c>
      <c r="M13" s="1">
        <v>319941</v>
      </c>
      <c r="N13" s="1">
        <v>0</v>
      </c>
      <c r="O13" s="1">
        <v>0</v>
      </c>
      <c r="P13" s="1">
        <v>0</v>
      </c>
      <c r="Q13" s="1">
        <v>0</v>
      </c>
      <c r="R13" s="1">
        <v>1</v>
      </c>
      <c r="S13" s="1">
        <v>178970</v>
      </c>
      <c r="T13" s="1">
        <v>0</v>
      </c>
      <c r="U13" s="1">
        <v>0</v>
      </c>
      <c r="V13" s="1">
        <v>0</v>
      </c>
      <c r="W13" s="1">
        <v>0</v>
      </c>
      <c r="X13" s="1">
        <v>1240415</v>
      </c>
      <c r="Y13" s="1" t="s">
        <v>69</v>
      </c>
      <c r="Z13" s="1">
        <v>16611.32</v>
      </c>
      <c r="AA13" s="1">
        <v>23.4</v>
      </c>
      <c r="AB13" s="1">
        <v>11</v>
      </c>
      <c r="AC13" s="1">
        <v>671110</v>
      </c>
      <c r="AD13" s="2">
        <f t="shared" si="0"/>
        <v>103367.91666666667</v>
      </c>
      <c r="AE13" s="3">
        <f t="shared" si="1"/>
        <v>0.16070092670598146</v>
      </c>
      <c r="AF13">
        <v>0</v>
      </c>
    </row>
    <row r="14" spans="1:32" x14ac:dyDescent="0.2">
      <c r="A14" s="1">
        <v>33</v>
      </c>
      <c r="B14" s="1" t="s">
        <v>70</v>
      </c>
      <c r="C14" s="1" t="s">
        <v>71</v>
      </c>
      <c r="D14" s="1" t="s">
        <v>72</v>
      </c>
      <c r="E14" s="1" t="s">
        <v>73</v>
      </c>
      <c r="F14" s="1" t="s">
        <v>56</v>
      </c>
      <c r="G14" s="1">
        <v>14094</v>
      </c>
      <c r="H14" s="1" t="s">
        <v>18</v>
      </c>
      <c r="I14" s="1">
        <v>0</v>
      </c>
      <c r="J14" s="1">
        <v>0</v>
      </c>
      <c r="K14" s="1">
        <v>0</v>
      </c>
      <c r="L14" s="1">
        <v>9</v>
      </c>
      <c r="M14" s="1">
        <v>33098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1</v>
      </c>
      <c r="V14" s="1">
        <v>60236</v>
      </c>
      <c r="W14" s="1">
        <v>0</v>
      </c>
      <c r="X14" s="1">
        <v>836190</v>
      </c>
      <c r="Y14" s="1" t="s">
        <v>40</v>
      </c>
      <c r="Z14" s="1">
        <v>15748.34</v>
      </c>
      <c r="AA14" s="1">
        <v>21</v>
      </c>
      <c r="AB14" s="1">
        <v>35</v>
      </c>
      <c r="AC14" s="1">
        <v>135410</v>
      </c>
      <c r="AD14" s="2">
        <f t="shared" si="0"/>
        <v>69682.5</v>
      </c>
      <c r="AE14" s="3">
        <f t="shared" si="1"/>
        <v>0.22600136332651671</v>
      </c>
      <c r="AF14">
        <v>1</v>
      </c>
    </row>
    <row r="15" spans="1:32" x14ac:dyDescent="0.2">
      <c r="A15" s="1">
        <v>34</v>
      </c>
      <c r="B15" s="1" t="s">
        <v>74</v>
      </c>
      <c r="C15" s="1" t="s">
        <v>75</v>
      </c>
      <c r="D15" s="1" t="s">
        <v>76</v>
      </c>
      <c r="E15" s="1" t="s">
        <v>77</v>
      </c>
      <c r="F15" s="1" t="s">
        <v>78</v>
      </c>
      <c r="G15" s="1">
        <v>46375</v>
      </c>
      <c r="H15" s="1" t="s">
        <v>79</v>
      </c>
      <c r="I15" s="1">
        <v>0</v>
      </c>
      <c r="J15" s="1">
        <v>0</v>
      </c>
      <c r="K15" s="1">
        <v>0</v>
      </c>
      <c r="L15" s="1">
        <v>10</v>
      </c>
      <c r="M15" s="1">
        <v>55461</v>
      </c>
      <c r="N15" s="1">
        <v>0</v>
      </c>
      <c r="O15" s="1">
        <v>1</v>
      </c>
      <c r="P15" s="1">
        <v>274032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670871</v>
      </c>
      <c r="Y15" s="1" t="s">
        <v>24</v>
      </c>
      <c r="Z15" s="1">
        <v>10845.77</v>
      </c>
      <c r="AA15" s="1">
        <v>8.5</v>
      </c>
      <c r="AB15" s="1">
        <v>60</v>
      </c>
      <c r="AC15" s="1">
        <v>88440</v>
      </c>
      <c r="AD15" s="2">
        <f t="shared" si="0"/>
        <v>55905.916666666664</v>
      </c>
      <c r="AE15" s="3">
        <f t="shared" si="1"/>
        <v>0.19400039649947606</v>
      </c>
      <c r="AF15">
        <v>0</v>
      </c>
    </row>
    <row r="16" spans="1:32" x14ac:dyDescent="0.2">
      <c r="A16" s="1">
        <v>35</v>
      </c>
      <c r="B16" s="1" t="s">
        <v>80</v>
      </c>
      <c r="C16" s="1" t="s">
        <v>81</v>
      </c>
      <c r="D16" s="1" t="s">
        <v>82</v>
      </c>
      <c r="E16" s="1" t="s">
        <v>83</v>
      </c>
      <c r="F16" s="1" t="s">
        <v>84</v>
      </c>
      <c r="G16" s="1">
        <v>53151</v>
      </c>
      <c r="H16" s="1" t="s">
        <v>18</v>
      </c>
      <c r="I16" s="1">
        <v>1</v>
      </c>
      <c r="J16" s="1">
        <v>162008</v>
      </c>
      <c r="K16" s="1">
        <v>0</v>
      </c>
      <c r="L16" s="1">
        <v>13</v>
      </c>
      <c r="M16" s="1">
        <v>314906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946713</v>
      </c>
      <c r="Y16" s="1" t="s">
        <v>24</v>
      </c>
      <c r="Z16" s="1">
        <v>16330.88</v>
      </c>
      <c r="AA16" s="1">
        <v>23.4</v>
      </c>
      <c r="AB16" s="1">
        <v>38</v>
      </c>
      <c r="AC16" s="1">
        <v>719180</v>
      </c>
      <c r="AD16" s="2">
        <f t="shared" si="0"/>
        <v>78892.75</v>
      </c>
      <c r="AE16" s="3">
        <f t="shared" si="1"/>
        <v>0.20700102354145342</v>
      </c>
      <c r="AF16">
        <v>1</v>
      </c>
    </row>
    <row r="17" spans="1:32" x14ac:dyDescent="0.2">
      <c r="A17" s="1">
        <v>36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>
        <v>48236</v>
      </c>
      <c r="H17" s="1" t="s">
        <v>30</v>
      </c>
      <c r="I17" s="1">
        <v>0</v>
      </c>
      <c r="J17" s="1">
        <v>0</v>
      </c>
      <c r="K17" s="1">
        <v>0</v>
      </c>
      <c r="L17" s="1">
        <v>5</v>
      </c>
      <c r="M17" s="1">
        <v>9063</v>
      </c>
      <c r="N17" s="1">
        <v>0</v>
      </c>
      <c r="O17" s="1">
        <v>1</v>
      </c>
      <c r="P17" s="1">
        <v>75966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262466</v>
      </c>
      <c r="Y17" s="1" t="s">
        <v>51</v>
      </c>
      <c r="Z17" s="1">
        <v>656.07</v>
      </c>
      <c r="AA17" s="1">
        <v>9</v>
      </c>
      <c r="AB17" s="1">
        <v>17</v>
      </c>
      <c r="AC17" s="1">
        <v>34716</v>
      </c>
      <c r="AD17" s="2">
        <f t="shared" si="0"/>
        <v>21872.166666666668</v>
      </c>
      <c r="AE17" s="3">
        <f t="shared" si="1"/>
        <v>2.9995656580280874E-2</v>
      </c>
      <c r="AF17">
        <v>1</v>
      </c>
    </row>
    <row r="18" spans="1:32" x14ac:dyDescent="0.2">
      <c r="A18" s="1">
        <v>37</v>
      </c>
      <c r="B18" s="1" t="s">
        <v>90</v>
      </c>
      <c r="C18" s="1" t="s">
        <v>91</v>
      </c>
      <c r="D18" s="1" t="s">
        <v>92</v>
      </c>
      <c r="E18" s="1" t="s">
        <v>93</v>
      </c>
      <c r="F18" s="1" t="s">
        <v>94</v>
      </c>
      <c r="G18" s="1">
        <v>8816</v>
      </c>
      <c r="H18" s="1" t="s">
        <v>5</v>
      </c>
      <c r="I18" s="1">
        <v>1</v>
      </c>
      <c r="J18" s="1">
        <v>109274</v>
      </c>
      <c r="K18" s="1">
        <v>0</v>
      </c>
      <c r="L18" s="1">
        <v>17</v>
      </c>
      <c r="M18" s="1">
        <v>23047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1132362</v>
      </c>
      <c r="Y18" s="1" t="s">
        <v>40</v>
      </c>
      <c r="Z18" s="1">
        <v>20986.45</v>
      </c>
      <c r="AA18" s="1">
        <v>19.7</v>
      </c>
      <c r="AB18" s="1">
        <v>30</v>
      </c>
      <c r="AC18" s="1">
        <v>179080</v>
      </c>
      <c r="AD18" s="2">
        <f t="shared" si="0"/>
        <v>94363.5</v>
      </c>
      <c r="AE18" s="3">
        <f t="shared" si="1"/>
        <v>0.22240008053961544</v>
      </c>
      <c r="AF18">
        <v>1</v>
      </c>
    </row>
    <row r="19" spans="1:32" x14ac:dyDescent="0.2">
      <c r="A19" s="1">
        <v>38</v>
      </c>
      <c r="B19" s="1" t="s">
        <v>95</v>
      </c>
      <c r="C19" s="1" t="s">
        <v>96</v>
      </c>
      <c r="D19" s="1" t="s">
        <v>97</v>
      </c>
      <c r="E19" s="1" t="s">
        <v>98</v>
      </c>
      <c r="F19" s="1" t="s">
        <v>94</v>
      </c>
      <c r="G19" s="1">
        <v>8753</v>
      </c>
      <c r="H19" s="1" t="s">
        <v>18</v>
      </c>
      <c r="I19" s="1">
        <v>0</v>
      </c>
      <c r="J19" s="1">
        <v>0</v>
      </c>
      <c r="K19" s="1">
        <v>0</v>
      </c>
      <c r="L19" s="1">
        <v>10</v>
      </c>
      <c r="M19" s="1">
        <v>171038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</v>
      </c>
      <c r="V19" s="1">
        <v>75284</v>
      </c>
      <c r="W19" s="1">
        <v>0</v>
      </c>
      <c r="X19" s="1">
        <v>2173201</v>
      </c>
      <c r="Y19" s="1" t="s">
        <v>69</v>
      </c>
      <c r="Z19" s="1">
        <v>12821.96</v>
      </c>
      <c r="AA19" s="1">
        <v>24.7</v>
      </c>
      <c r="AB19" s="1">
        <v>33</v>
      </c>
      <c r="AC19" s="1">
        <v>318384</v>
      </c>
      <c r="AD19" s="2">
        <f t="shared" si="0"/>
        <v>181100.08333333334</v>
      </c>
      <c r="AE19" s="3">
        <f t="shared" si="1"/>
        <v>7.0800409166018236E-2</v>
      </c>
      <c r="AF19">
        <v>1</v>
      </c>
    </row>
    <row r="20" spans="1:32" x14ac:dyDescent="0.2">
      <c r="A20" s="1">
        <v>39</v>
      </c>
      <c r="B20" s="1" t="s">
        <v>99</v>
      </c>
      <c r="C20" s="1" t="s">
        <v>100</v>
      </c>
      <c r="D20" s="1" t="s">
        <v>101</v>
      </c>
      <c r="E20" s="1" t="s">
        <v>102</v>
      </c>
      <c r="F20" s="1" t="s">
        <v>39</v>
      </c>
      <c r="G20" s="1">
        <v>28079</v>
      </c>
      <c r="H20" s="1" t="s">
        <v>18</v>
      </c>
      <c r="I20" s="1">
        <v>0</v>
      </c>
      <c r="J20" s="1">
        <v>0</v>
      </c>
      <c r="K20" s="1">
        <v>0</v>
      </c>
      <c r="L20" s="1">
        <v>7</v>
      </c>
      <c r="M20" s="1">
        <v>47576</v>
      </c>
      <c r="N20" s="1">
        <v>0</v>
      </c>
      <c r="O20" s="1">
        <v>1</v>
      </c>
      <c r="P20" s="1">
        <v>66374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1146612</v>
      </c>
      <c r="Y20" s="1" t="s">
        <v>103</v>
      </c>
      <c r="Z20" s="1">
        <v>13472.71</v>
      </c>
      <c r="AA20" s="1">
        <v>18</v>
      </c>
      <c r="AB20" s="1">
        <v>12</v>
      </c>
      <c r="AC20" s="1">
        <v>110638</v>
      </c>
      <c r="AD20" s="2">
        <f t="shared" si="0"/>
        <v>95551</v>
      </c>
      <c r="AE20" s="3">
        <f t="shared" si="1"/>
        <v>0.14100019884668918</v>
      </c>
      <c r="AF20">
        <v>1</v>
      </c>
    </row>
    <row r="21" spans="1:32" x14ac:dyDescent="0.2">
      <c r="A21" s="1">
        <v>40</v>
      </c>
      <c r="B21" s="1" t="s">
        <v>104</v>
      </c>
      <c r="C21" s="1" t="s">
        <v>105</v>
      </c>
      <c r="D21" s="1" t="s">
        <v>106</v>
      </c>
      <c r="E21" s="1" t="s">
        <v>107</v>
      </c>
      <c r="F21" s="1" t="s">
        <v>23</v>
      </c>
      <c r="G21" s="1">
        <v>37343</v>
      </c>
      <c r="H21" s="1" t="s">
        <v>18</v>
      </c>
      <c r="I21" s="1">
        <v>0</v>
      </c>
      <c r="J21" s="1">
        <v>0</v>
      </c>
      <c r="K21" s="1">
        <v>0</v>
      </c>
      <c r="L21" s="1">
        <v>7</v>
      </c>
      <c r="M21" s="1">
        <v>88768</v>
      </c>
      <c r="N21" s="1">
        <v>0</v>
      </c>
      <c r="O21" s="1">
        <v>0</v>
      </c>
      <c r="P21" s="1">
        <v>0</v>
      </c>
      <c r="Q21" s="1">
        <v>0</v>
      </c>
      <c r="R21" s="1">
        <v>1</v>
      </c>
      <c r="S21" s="1">
        <v>643786</v>
      </c>
      <c r="T21" s="1">
        <v>0</v>
      </c>
      <c r="U21" s="1">
        <v>0</v>
      </c>
      <c r="V21" s="1">
        <v>0</v>
      </c>
      <c r="W21" s="1">
        <v>0</v>
      </c>
      <c r="X21" s="1">
        <v>2272571</v>
      </c>
      <c r="Y21" s="1" t="s">
        <v>51</v>
      </c>
      <c r="Z21" s="1">
        <v>19885.02</v>
      </c>
      <c r="AA21" s="1">
        <v>9.1999999999999993</v>
      </c>
      <c r="AB21" s="1">
        <v>43</v>
      </c>
      <c r="AC21" s="1">
        <v>195778</v>
      </c>
      <c r="AD21" s="2">
        <f t="shared" si="0"/>
        <v>189380.91666666666</v>
      </c>
      <c r="AE21" s="3">
        <f t="shared" si="1"/>
        <v>0.10500012540862311</v>
      </c>
      <c r="AF21">
        <v>0</v>
      </c>
    </row>
    <row r="22" spans="1:32" x14ac:dyDescent="0.2">
      <c r="A22" s="1">
        <v>41</v>
      </c>
      <c r="B22" s="1" t="s">
        <v>108</v>
      </c>
      <c r="C22" s="1" t="s">
        <v>109</v>
      </c>
      <c r="D22" s="1" t="s">
        <v>110</v>
      </c>
      <c r="E22" s="1" t="s">
        <v>111</v>
      </c>
      <c r="F22" s="1" t="s">
        <v>112</v>
      </c>
      <c r="G22" s="1">
        <v>16601</v>
      </c>
      <c r="H22" s="1" t="s">
        <v>113</v>
      </c>
      <c r="I22" s="1">
        <v>0</v>
      </c>
      <c r="J22" s="1">
        <v>0</v>
      </c>
      <c r="K22" s="1">
        <v>0</v>
      </c>
      <c r="L22" s="1">
        <v>10</v>
      </c>
      <c r="M22" s="1">
        <v>61636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</v>
      </c>
      <c r="V22" s="1">
        <v>89012</v>
      </c>
      <c r="W22" s="1">
        <v>0</v>
      </c>
      <c r="X22" s="1">
        <v>1249079</v>
      </c>
      <c r="Y22" s="1" t="s">
        <v>51</v>
      </c>
      <c r="Z22" s="1">
        <v>11866.26</v>
      </c>
      <c r="AA22" s="1">
        <v>10.5</v>
      </c>
      <c r="AB22" s="1">
        <v>6</v>
      </c>
      <c r="AC22" s="1">
        <v>206844</v>
      </c>
      <c r="AD22" s="2">
        <f t="shared" si="0"/>
        <v>104089.91666666667</v>
      </c>
      <c r="AE22" s="3">
        <f t="shared" si="1"/>
        <v>0.11400009126724571</v>
      </c>
      <c r="AF22">
        <v>1</v>
      </c>
    </row>
    <row r="23" spans="1:32" x14ac:dyDescent="0.2">
      <c r="A23" s="1">
        <v>42</v>
      </c>
      <c r="B23" s="1" t="s">
        <v>114</v>
      </c>
      <c r="C23" s="1" t="s">
        <v>115</v>
      </c>
      <c r="D23" s="1" t="s">
        <v>116</v>
      </c>
      <c r="E23" s="1" t="s">
        <v>117</v>
      </c>
      <c r="F23" s="1" t="s">
        <v>118</v>
      </c>
      <c r="G23" s="1">
        <v>32259</v>
      </c>
      <c r="H23" s="1" t="s">
        <v>30</v>
      </c>
      <c r="I23" s="1">
        <v>0</v>
      </c>
      <c r="J23" s="1">
        <v>0</v>
      </c>
      <c r="K23" s="1">
        <v>0</v>
      </c>
      <c r="L23" s="1">
        <v>13</v>
      </c>
      <c r="M23" s="1">
        <v>193135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>
        <v>220022</v>
      </c>
      <c r="W23" s="1">
        <v>0</v>
      </c>
      <c r="X23" s="1">
        <v>1330133</v>
      </c>
      <c r="Y23" s="1" t="s">
        <v>12</v>
      </c>
      <c r="Z23" s="1">
        <v>20727.86</v>
      </c>
      <c r="AA23" s="1">
        <v>33.5</v>
      </c>
      <c r="AB23" s="1">
        <v>6</v>
      </c>
      <c r="AC23" s="1">
        <v>560494</v>
      </c>
      <c r="AD23" s="2">
        <f t="shared" si="0"/>
        <v>110844.41666666667</v>
      </c>
      <c r="AE23" s="3">
        <f t="shared" si="1"/>
        <v>0.18699958575571013</v>
      </c>
      <c r="AF23">
        <v>0</v>
      </c>
    </row>
    <row r="24" spans="1:32" x14ac:dyDescent="0.2">
      <c r="A24" s="1">
        <v>43</v>
      </c>
      <c r="B24" s="1" t="s">
        <v>119</v>
      </c>
      <c r="C24" s="1" t="s">
        <v>120</v>
      </c>
      <c r="D24" s="1" t="s">
        <v>121</v>
      </c>
      <c r="E24" s="1" t="s">
        <v>122</v>
      </c>
      <c r="F24" s="1" t="s">
        <v>123</v>
      </c>
      <c r="G24" s="1">
        <v>60137</v>
      </c>
      <c r="H24" s="1" t="s">
        <v>5</v>
      </c>
      <c r="I24" s="1">
        <v>0</v>
      </c>
      <c r="J24" s="1">
        <v>0</v>
      </c>
      <c r="K24" s="1">
        <v>0</v>
      </c>
      <c r="L24" s="1">
        <v>11</v>
      </c>
      <c r="M24" s="1">
        <v>535477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</v>
      </c>
      <c r="V24" s="1">
        <v>88132</v>
      </c>
      <c r="W24" s="1">
        <v>0</v>
      </c>
      <c r="X24" s="1">
        <v>1427147</v>
      </c>
      <c r="Y24" s="1" t="s">
        <v>69</v>
      </c>
      <c r="Z24" s="1">
        <v>25367.47</v>
      </c>
      <c r="AA24" s="1">
        <v>21.4</v>
      </c>
      <c r="AB24" s="1">
        <v>30</v>
      </c>
      <c r="AC24" s="1">
        <v>1201618</v>
      </c>
      <c r="AD24" s="2">
        <f t="shared" si="0"/>
        <v>118928.91666666667</v>
      </c>
      <c r="AE24" s="3">
        <f t="shared" si="1"/>
        <v>0.21329942886051681</v>
      </c>
      <c r="AF24">
        <v>1</v>
      </c>
    </row>
    <row r="25" spans="1:32" x14ac:dyDescent="0.2">
      <c r="A25" s="1">
        <v>44</v>
      </c>
      <c r="B25" s="1" t="s">
        <v>124</v>
      </c>
      <c r="C25" s="1" t="s">
        <v>125</v>
      </c>
      <c r="D25" s="1" t="s">
        <v>126</v>
      </c>
      <c r="E25" s="1" t="s">
        <v>127</v>
      </c>
      <c r="F25" s="1" t="s">
        <v>118</v>
      </c>
      <c r="G25" s="1">
        <v>32082</v>
      </c>
      <c r="H25" s="1" t="s">
        <v>128</v>
      </c>
      <c r="I25" s="1">
        <v>0</v>
      </c>
      <c r="J25" s="1">
        <v>0</v>
      </c>
      <c r="K25" s="1">
        <v>0</v>
      </c>
      <c r="L25" s="1">
        <v>9</v>
      </c>
      <c r="M25" s="1">
        <v>98306</v>
      </c>
      <c r="N25" s="1">
        <v>0</v>
      </c>
      <c r="O25" s="1">
        <v>1</v>
      </c>
      <c r="P25" s="1">
        <v>107734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837387</v>
      </c>
      <c r="Y25" s="1" t="s">
        <v>6</v>
      </c>
      <c r="Z25" s="1">
        <v>9958.09</v>
      </c>
      <c r="AA25" s="1">
        <v>17.5</v>
      </c>
      <c r="AB25" s="1">
        <v>75</v>
      </c>
      <c r="AC25" s="1">
        <v>237138</v>
      </c>
      <c r="AD25" s="2">
        <f t="shared" si="0"/>
        <v>69782.25</v>
      </c>
      <c r="AE25" s="3">
        <f t="shared" si="1"/>
        <v>0.14270233476277994</v>
      </c>
      <c r="AF25">
        <v>0</v>
      </c>
    </row>
    <row r="26" spans="1:32" x14ac:dyDescent="0.2">
      <c r="A26" s="1">
        <v>45</v>
      </c>
      <c r="B26" s="1" t="s">
        <v>129</v>
      </c>
      <c r="C26" s="1" t="s">
        <v>130</v>
      </c>
      <c r="D26" s="1" t="s">
        <v>131</v>
      </c>
      <c r="E26" s="1" t="s">
        <v>132</v>
      </c>
      <c r="F26" s="1" t="s">
        <v>118</v>
      </c>
      <c r="G26" s="1">
        <v>34990</v>
      </c>
      <c r="H26" s="1" t="s">
        <v>5</v>
      </c>
      <c r="I26" s="1">
        <v>0</v>
      </c>
      <c r="J26" s="1">
        <v>0</v>
      </c>
      <c r="K26" s="1">
        <v>0</v>
      </c>
      <c r="L26" s="1">
        <v>5</v>
      </c>
      <c r="M26" s="1">
        <v>37677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1</v>
      </c>
      <c r="V26" s="1">
        <v>107602</v>
      </c>
      <c r="W26" s="1">
        <v>0</v>
      </c>
      <c r="X26" s="1">
        <v>556681</v>
      </c>
      <c r="Y26" s="1" t="s">
        <v>103</v>
      </c>
      <c r="Z26" s="1">
        <v>8350.31</v>
      </c>
      <c r="AA26" s="1">
        <v>10.3</v>
      </c>
      <c r="AB26" s="1">
        <v>39</v>
      </c>
      <c r="AC26" s="1">
        <v>68904</v>
      </c>
      <c r="AD26" s="2">
        <f t="shared" si="0"/>
        <v>46390.083333333336</v>
      </c>
      <c r="AE26" s="3">
        <f t="shared" si="1"/>
        <v>0.18000204785146248</v>
      </c>
      <c r="AF26">
        <v>1</v>
      </c>
    </row>
    <row r="27" spans="1:32" x14ac:dyDescent="0.2">
      <c r="A27" s="1">
        <v>46</v>
      </c>
      <c r="B27" s="1" t="s">
        <v>133</v>
      </c>
      <c r="C27" s="1" t="s">
        <v>134</v>
      </c>
      <c r="D27" s="1" t="s">
        <v>135</v>
      </c>
      <c r="E27" s="1" t="s">
        <v>136</v>
      </c>
      <c r="F27" s="1" t="s">
        <v>17</v>
      </c>
      <c r="G27" s="1">
        <v>1085</v>
      </c>
      <c r="H27" s="1" t="s">
        <v>5</v>
      </c>
      <c r="I27" s="1">
        <v>0</v>
      </c>
      <c r="J27" s="1">
        <v>0</v>
      </c>
      <c r="K27" s="1">
        <v>0</v>
      </c>
      <c r="L27" s="1">
        <v>6</v>
      </c>
      <c r="M27" s="1">
        <v>5092</v>
      </c>
      <c r="N27" s="1">
        <v>0</v>
      </c>
      <c r="O27" s="1">
        <v>0</v>
      </c>
      <c r="P27" s="1">
        <v>0</v>
      </c>
      <c r="Q27" s="1">
        <v>0</v>
      </c>
      <c r="R27" s="1">
        <v>1</v>
      </c>
      <c r="S27" s="1">
        <v>65604</v>
      </c>
      <c r="T27" s="1">
        <v>0</v>
      </c>
      <c r="U27" s="1">
        <v>0</v>
      </c>
      <c r="V27" s="1">
        <v>0</v>
      </c>
      <c r="W27" s="1">
        <v>0</v>
      </c>
      <c r="X27" s="1">
        <v>1133160</v>
      </c>
      <c r="Y27" s="1" t="s">
        <v>103</v>
      </c>
      <c r="Z27" s="1">
        <v>5193.6499999999996</v>
      </c>
      <c r="AA27" s="1">
        <v>15.8</v>
      </c>
      <c r="AB27" s="1">
        <v>7</v>
      </c>
      <c r="AC27" s="1">
        <v>227106</v>
      </c>
      <c r="AD27" s="2">
        <f t="shared" si="0"/>
        <v>94430</v>
      </c>
      <c r="AE27" s="3">
        <f t="shared" si="1"/>
        <v>5.4999999999999993E-2</v>
      </c>
      <c r="AF27">
        <v>0</v>
      </c>
    </row>
    <row r="28" spans="1:32" x14ac:dyDescent="0.2">
      <c r="A28" s="1">
        <v>47</v>
      </c>
      <c r="B28" s="1" t="s">
        <v>137</v>
      </c>
      <c r="C28" s="1" t="s">
        <v>138</v>
      </c>
      <c r="D28" s="1" t="s">
        <v>139</v>
      </c>
      <c r="E28" s="1" t="s">
        <v>140</v>
      </c>
      <c r="F28" s="1" t="s">
        <v>112</v>
      </c>
      <c r="G28" s="1">
        <v>19335</v>
      </c>
      <c r="H28" s="1" t="s">
        <v>5</v>
      </c>
      <c r="I28" s="1">
        <v>0</v>
      </c>
      <c r="J28" s="1">
        <v>0</v>
      </c>
      <c r="K28" s="1">
        <v>0</v>
      </c>
      <c r="L28" s="1">
        <v>16</v>
      </c>
      <c r="M28" s="1">
        <v>125837</v>
      </c>
      <c r="N28" s="1">
        <v>0</v>
      </c>
      <c r="O28" s="1">
        <v>0</v>
      </c>
      <c r="P28" s="1">
        <v>0</v>
      </c>
      <c r="Q28" s="1">
        <v>0</v>
      </c>
      <c r="R28" s="1">
        <v>1</v>
      </c>
      <c r="S28" s="1">
        <v>398332</v>
      </c>
      <c r="T28" s="1">
        <v>0</v>
      </c>
      <c r="U28" s="1">
        <v>0</v>
      </c>
      <c r="V28" s="1">
        <v>0</v>
      </c>
      <c r="W28" s="1">
        <v>0</v>
      </c>
      <c r="X28" s="1">
        <v>1146726</v>
      </c>
      <c r="Y28" s="1" t="s">
        <v>6</v>
      </c>
      <c r="Z28" s="1">
        <v>12518.34</v>
      </c>
      <c r="AA28" s="1">
        <v>14.8</v>
      </c>
      <c r="AB28" s="1">
        <v>66</v>
      </c>
      <c r="AC28" s="1">
        <v>325226</v>
      </c>
      <c r="AD28" s="2">
        <f t="shared" si="0"/>
        <v>95560.5</v>
      </c>
      <c r="AE28" s="3">
        <f t="shared" si="1"/>
        <v>0.13099910527885475</v>
      </c>
      <c r="AF28">
        <v>1</v>
      </c>
    </row>
    <row r="29" spans="1:32" x14ac:dyDescent="0.2">
      <c r="A29" s="1">
        <v>48</v>
      </c>
      <c r="B29" s="1" t="s">
        <v>141</v>
      </c>
      <c r="C29" s="1" t="s">
        <v>142</v>
      </c>
      <c r="D29" s="1" t="s">
        <v>143</v>
      </c>
      <c r="E29" s="1" t="s">
        <v>144</v>
      </c>
      <c r="F29" s="1" t="s">
        <v>112</v>
      </c>
      <c r="G29" s="1">
        <v>18702</v>
      </c>
      <c r="H29" s="1" t="s">
        <v>5</v>
      </c>
      <c r="I29" s="1">
        <v>1</v>
      </c>
      <c r="J29" s="1">
        <v>89628</v>
      </c>
      <c r="K29" s="1">
        <v>0</v>
      </c>
      <c r="L29" s="1">
        <v>2</v>
      </c>
      <c r="M29" s="1">
        <v>6384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773984</v>
      </c>
      <c r="Y29" s="1" t="s">
        <v>145</v>
      </c>
      <c r="Z29" s="1">
        <v>2225.2800000000002</v>
      </c>
      <c r="AA29" s="1">
        <v>13.7</v>
      </c>
      <c r="AB29" s="1">
        <v>0</v>
      </c>
      <c r="AC29" s="1">
        <v>67210</v>
      </c>
      <c r="AD29" s="2">
        <f t="shared" si="0"/>
        <v>64498.666666666664</v>
      </c>
      <c r="AE29" s="3">
        <f t="shared" si="1"/>
        <v>3.4501178318931659E-2</v>
      </c>
      <c r="AF29">
        <v>1</v>
      </c>
    </row>
    <row r="30" spans="1:32" x14ac:dyDescent="0.2">
      <c r="A30" s="1">
        <v>49</v>
      </c>
      <c r="B30" s="1" t="s">
        <v>146</v>
      </c>
      <c r="C30" s="1" t="s">
        <v>147</v>
      </c>
      <c r="D30" s="1" t="s">
        <v>148</v>
      </c>
      <c r="E30" s="1" t="s">
        <v>149</v>
      </c>
      <c r="F30" s="1" t="s">
        <v>123</v>
      </c>
      <c r="G30" s="1">
        <v>60459</v>
      </c>
      <c r="H30" s="1" t="s">
        <v>18</v>
      </c>
      <c r="I30" s="1">
        <v>0</v>
      </c>
      <c r="J30" s="1">
        <v>0</v>
      </c>
      <c r="K30" s="1">
        <v>0</v>
      </c>
      <c r="L30" s="1">
        <v>10</v>
      </c>
      <c r="M30" s="1">
        <v>11799</v>
      </c>
      <c r="N30" s="1">
        <v>0</v>
      </c>
      <c r="O30" s="1">
        <v>0</v>
      </c>
      <c r="P30" s="1">
        <v>0</v>
      </c>
      <c r="Q30" s="1">
        <v>0</v>
      </c>
      <c r="R30" s="1">
        <v>1</v>
      </c>
      <c r="S30" s="1">
        <v>354552</v>
      </c>
      <c r="T30" s="1">
        <v>0</v>
      </c>
      <c r="U30" s="1">
        <v>0</v>
      </c>
      <c r="V30" s="1">
        <v>0</v>
      </c>
      <c r="W30" s="1">
        <v>0</v>
      </c>
      <c r="X30" s="1">
        <v>1763390</v>
      </c>
      <c r="Y30" s="1" t="s">
        <v>24</v>
      </c>
      <c r="Z30" s="1">
        <v>8890.2900000000009</v>
      </c>
      <c r="AA30" s="1">
        <v>11</v>
      </c>
      <c r="AB30" s="1">
        <v>16</v>
      </c>
      <c r="AC30" s="1">
        <v>333432</v>
      </c>
      <c r="AD30" s="2">
        <f t="shared" si="0"/>
        <v>146949.16666666666</v>
      </c>
      <c r="AE30" s="3">
        <f t="shared" si="1"/>
        <v>6.0499084150414835E-2</v>
      </c>
      <c r="AF30">
        <v>0</v>
      </c>
    </row>
    <row r="31" spans="1:32" x14ac:dyDescent="0.2">
      <c r="A31" s="1">
        <v>50</v>
      </c>
      <c r="B31" s="1" t="s">
        <v>150</v>
      </c>
      <c r="C31" s="1" t="s">
        <v>151</v>
      </c>
      <c r="D31" s="1" t="s">
        <v>152</v>
      </c>
      <c r="E31" s="1" t="s">
        <v>153</v>
      </c>
      <c r="F31" s="1" t="s">
        <v>112</v>
      </c>
      <c r="G31" s="1">
        <v>19013</v>
      </c>
      <c r="H31" s="1" t="s">
        <v>18</v>
      </c>
      <c r="I31" s="1">
        <v>0</v>
      </c>
      <c r="J31" s="1">
        <v>0</v>
      </c>
      <c r="K31" s="1">
        <v>0</v>
      </c>
      <c r="L31" s="1">
        <v>7</v>
      </c>
      <c r="M31" s="1">
        <v>100738</v>
      </c>
      <c r="N31" s="1">
        <v>0</v>
      </c>
      <c r="O31" s="1">
        <v>0</v>
      </c>
      <c r="P31" s="1">
        <v>0</v>
      </c>
      <c r="Q31" s="1">
        <v>0</v>
      </c>
      <c r="R31" s="1">
        <v>1</v>
      </c>
      <c r="S31" s="1">
        <v>115720</v>
      </c>
      <c r="T31" s="1">
        <v>0</v>
      </c>
      <c r="U31" s="1">
        <v>0</v>
      </c>
      <c r="V31" s="1">
        <v>0</v>
      </c>
      <c r="W31" s="1">
        <v>0</v>
      </c>
      <c r="X31" s="1">
        <v>452542</v>
      </c>
      <c r="Y31" s="1" t="s">
        <v>46</v>
      </c>
      <c r="Z31" s="1">
        <v>6825.75</v>
      </c>
      <c r="AA31" s="1">
        <v>18.899999999999999</v>
      </c>
      <c r="AB31" s="1">
        <v>16</v>
      </c>
      <c r="AC31" s="1">
        <v>194414</v>
      </c>
      <c r="AD31" s="2">
        <f t="shared" si="0"/>
        <v>37711.833333333336</v>
      </c>
      <c r="AE31" s="3">
        <f t="shared" si="1"/>
        <v>0.18099756486690738</v>
      </c>
      <c r="AF31">
        <v>1</v>
      </c>
    </row>
    <row r="32" spans="1:32" x14ac:dyDescent="0.2">
      <c r="A32" s="1">
        <v>51</v>
      </c>
      <c r="B32" s="1" t="s">
        <v>154</v>
      </c>
      <c r="C32" s="1" t="s">
        <v>155</v>
      </c>
      <c r="D32" s="1" t="s">
        <v>156</v>
      </c>
      <c r="E32" s="1" t="s">
        <v>157</v>
      </c>
      <c r="F32" s="1" t="s">
        <v>17</v>
      </c>
      <c r="G32" s="1">
        <v>1867</v>
      </c>
      <c r="H32" s="1" t="s">
        <v>5</v>
      </c>
      <c r="I32" s="1">
        <v>0</v>
      </c>
      <c r="J32" s="1">
        <v>0</v>
      </c>
      <c r="K32" s="1">
        <v>0</v>
      </c>
      <c r="L32" s="1">
        <v>15</v>
      </c>
      <c r="M32" s="1">
        <v>12236</v>
      </c>
      <c r="N32" s="1">
        <v>0</v>
      </c>
      <c r="O32" s="1">
        <v>0</v>
      </c>
      <c r="P32" s="1">
        <v>0</v>
      </c>
      <c r="Q32" s="1">
        <v>0</v>
      </c>
      <c r="R32" s="1">
        <v>1</v>
      </c>
      <c r="S32" s="1">
        <v>89848</v>
      </c>
      <c r="T32" s="1">
        <v>0</v>
      </c>
      <c r="U32" s="1">
        <v>0</v>
      </c>
      <c r="V32" s="1">
        <v>0</v>
      </c>
      <c r="W32" s="1">
        <v>0</v>
      </c>
      <c r="X32" s="1">
        <v>3413882</v>
      </c>
      <c r="Y32" s="1" t="s">
        <v>158</v>
      </c>
      <c r="Z32" s="1">
        <v>37268.31</v>
      </c>
      <c r="AA32" s="1">
        <v>19</v>
      </c>
      <c r="AB32" s="1">
        <v>15</v>
      </c>
      <c r="AC32" s="1">
        <v>38214</v>
      </c>
      <c r="AD32" s="2">
        <f t="shared" si="0"/>
        <v>284490.16666666669</v>
      </c>
      <c r="AE32" s="3">
        <f t="shared" si="1"/>
        <v>0.13100034506172151</v>
      </c>
      <c r="AF32">
        <v>1</v>
      </c>
    </row>
    <row r="33" spans="1:32" x14ac:dyDescent="0.2">
      <c r="A33" s="1">
        <v>52</v>
      </c>
      <c r="B33" s="1" t="s">
        <v>159</v>
      </c>
      <c r="C33" s="1" t="s">
        <v>160</v>
      </c>
      <c r="D33" s="1" t="s">
        <v>161</v>
      </c>
      <c r="E33" s="1" t="s">
        <v>162</v>
      </c>
      <c r="F33" s="1" t="s">
        <v>163</v>
      </c>
      <c r="G33" s="1">
        <v>6082</v>
      </c>
      <c r="H33" s="1" t="s">
        <v>5</v>
      </c>
      <c r="I33" s="1">
        <v>0</v>
      </c>
      <c r="J33" s="1">
        <v>0</v>
      </c>
      <c r="K33" s="1">
        <v>0</v>
      </c>
      <c r="L33" s="1">
        <v>8</v>
      </c>
      <c r="M33" s="1">
        <v>88521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1</v>
      </c>
      <c r="V33" s="1">
        <v>244794</v>
      </c>
      <c r="W33" s="1">
        <v>0</v>
      </c>
      <c r="X33" s="1">
        <v>653429</v>
      </c>
      <c r="Y33" s="1" t="s">
        <v>69</v>
      </c>
      <c r="Z33" s="1">
        <v>6370.89</v>
      </c>
      <c r="AA33" s="1">
        <v>8.3000000000000007</v>
      </c>
      <c r="AB33" s="1">
        <v>48</v>
      </c>
      <c r="AC33" s="1">
        <v>313456</v>
      </c>
      <c r="AD33" s="2">
        <f t="shared" si="0"/>
        <v>54452.416666666664</v>
      </c>
      <c r="AE33" s="3">
        <f t="shared" si="1"/>
        <v>0.11699921491087786</v>
      </c>
      <c r="AF33">
        <v>0</v>
      </c>
    </row>
    <row r="34" spans="1:32" x14ac:dyDescent="0.2">
      <c r="A34" s="1">
        <v>53</v>
      </c>
      <c r="B34" s="1" t="s">
        <v>164</v>
      </c>
      <c r="C34" s="1" t="s">
        <v>165</v>
      </c>
      <c r="D34" s="1" t="s">
        <v>166</v>
      </c>
      <c r="E34" s="1" t="s">
        <v>167</v>
      </c>
      <c r="F34" s="1" t="s">
        <v>168</v>
      </c>
      <c r="G34" s="1">
        <v>30132</v>
      </c>
      <c r="H34" s="1" t="s">
        <v>18</v>
      </c>
      <c r="I34" s="1">
        <v>0</v>
      </c>
      <c r="J34" s="1">
        <v>0</v>
      </c>
      <c r="K34" s="1">
        <v>0</v>
      </c>
      <c r="L34" s="1">
        <v>6</v>
      </c>
      <c r="M34" s="1">
        <v>69958</v>
      </c>
      <c r="N34" s="1">
        <v>1</v>
      </c>
      <c r="O34" s="1">
        <v>0</v>
      </c>
      <c r="P34" s="1">
        <v>0</v>
      </c>
      <c r="Q34" s="1">
        <v>0</v>
      </c>
      <c r="R34" s="1">
        <v>1</v>
      </c>
      <c r="S34" s="1">
        <v>76274</v>
      </c>
      <c r="T34" s="1">
        <v>0</v>
      </c>
      <c r="U34" s="1">
        <v>0</v>
      </c>
      <c r="V34" s="1">
        <v>0</v>
      </c>
      <c r="W34" s="1">
        <v>0</v>
      </c>
      <c r="X34" s="1">
        <v>2653882</v>
      </c>
      <c r="Y34" s="1" t="s">
        <v>158</v>
      </c>
      <c r="Z34" s="1">
        <v>12163.61</v>
      </c>
      <c r="AA34" s="1">
        <v>16.899999999999999</v>
      </c>
      <c r="AB34" s="1">
        <v>78</v>
      </c>
      <c r="AC34" s="1">
        <v>149160</v>
      </c>
      <c r="AD34" s="2">
        <f t="shared" si="0"/>
        <v>221156.83333333334</v>
      </c>
      <c r="AE34" s="3">
        <f t="shared" si="1"/>
        <v>5.4999928406764126E-2</v>
      </c>
      <c r="AF34">
        <v>0</v>
      </c>
    </row>
    <row r="35" spans="1:32" x14ac:dyDescent="0.2">
      <c r="A35" s="1">
        <v>54</v>
      </c>
      <c r="B35" s="1" t="s">
        <v>169</v>
      </c>
      <c r="C35" s="1" t="s">
        <v>170</v>
      </c>
      <c r="D35" s="1" t="s">
        <v>171</v>
      </c>
      <c r="E35" s="1" t="s">
        <v>172</v>
      </c>
      <c r="F35" s="1" t="s">
        <v>23</v>
      </c>
      <c r="G35" s="1">
        <v>37643</v>
      </c>
      <c r="H35" s="1" t="s">
        <v>5</v>
      </c>
      <c r="I35" s="1">
        <v>1</v>
      </c>
      <c r="J35" s="1">
        <v>51854</v>
      </c>
      <c r="K35" s="1">
        <v>0</v>
      </c>
      <c r="L35" s="1">
        <v>6</v>
      </c>
      <c r="M35" s="1">
        <v>13642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485203</v>
      </c>
      <c r="Y35" s="1" t="s">
        <v>6</v>
      </c>
      <c r="Z35" s="1">
        <v>6105.65</v>
      </c>
      <c r="AA35" s="1">
        <v>16.5</v>
      </c>
      <c r="AB35" s="1">
        <v>16</v>
      </c>
      <c r="AC35" s="1">
        <v>272338</v>
      </c>
      <c r="AD35" s="2">
        <f t="shared" si="0"/>
        <v>40433.583333333336</v>
      </c>
      <c r="AE35" s="3">
        <f t="shared" si="1"/>
        <v>0.15100442495203037</v>
      </c>
      <c r="AF35">
        <v>0</v>
      </c>
    </row>
    <row r="36" spans="1:32" x14ac:dyDescent="0.2">
      <c r="A36" s="1">
        <v>55</v>
      </c>
      <c r="B36" s="1" t="s">
        <v>173</v>
      </c>
      <c r="C36" s="1" t="s">
        <v>174</v>
      </c>
      <c r="D36" s="1" t="s">
        <v>175</v>
      </c>
      <c r="E36" s="1" t="s">
        <v>176</v>
      </c>
      <c r="F36" s="1" t="s">
        <v>123</v>
      </c>
      <c r="G36" s="1">
        <v>60621</v>
      </c>
      <c r="H36" s="1" t="s">
        <v>18</v>
      </c>
      <c r="I36" s="1">
        <v>0</v>
      </c>
      <c r="J36" s="1">
        <v>0</v>
      </c>
      <c r="K36" s="1">
        <v>0</v>
      </c>
      <c r="L36" s="1">
        <v>8</v>
      </c>
      <c r="M36" s="1">
        <v>324254</v>
      </c>
      <c r="N36" s="1">
        <v>0</v>
      </c>
      <c r="O36" s="1">
        <v>1</v>
      </c>
      <c r="P36" s="1">
        <v>216788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1497808</v>
      </c>
      <c r="Y36" s="1" t="s">
        <v>145</v>
      </c>
      <c r="Z36" s="1">
        <v>26960.62</v>
      </c>
      <c r="AA36" s="1">
        <v>21.9</v>
      </c>
      <c r="AB36" s="1">
        <v>77</v>
      </c>
      <c r="AC36" s="1">
        <v>398992</v>
      </c>
      <c r="AD36" s="2">
        <f t="shared" si="0"/>
        <v>124817.33333333333</v>
      </c>
      <c r="AE36" s="3">
        <f t="shared" si="1"/>
        <v>0.21600060888979095</v>
      </c>
      <c r="AF36">
        <v>0</v>
      </c>
    </row>
    <row r="37" spans="1:32" x14ac:dyDescent="0.2">
      <c r="A37" s="1">
        <v>56</v>
      </c>
      <c r="B37" s="1" t="s">
        <v>177</v>
      </c>
      <c r="C37" s="1" t="s">
        <v>178</v>
      </c>
      <c r="D37" s="1" t="s">
        <v>179</v>
      </c>
      <c r="E37" s="1" t="s">
        <v>180</v>
      </c>
      <c r="F37" s="1" t="s">
        <v>168</v>
      </c>
      <c r="G37" s="1">
        <v>31525</v>
      </c>
      <c r="H37" s="1" t="s">
        <v>5</v>
      </c>
      <c r="I37" s="1">
        <v>0</v>
      </c>
      <c r="J37" s="1">
        <v>0</v>
      </c>
      <c r="K37" s="1">
        <v>0</v>
      </c>
      <c r="L37" s="1">
        <v>14</v>
      </c>
      <c r="M37" s="1">
        <v>241547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>
        <v>133210</v>
      </c>
      <c r="W37" s="1">
        <v>0</v>
      </c>
      <c r="X37" s="1">
        <v>1533984</v>
      </c>
      <c r="Y37" s="1" t="s">
        <v>46</v>
      </c>
      <c r="Z37" s="1">
        <v>31574.58</v>
      </c>
      <c r="AA37" s="1">
        <v>16</v>
      </c>
      <c r="AB37" s="1">
        <v>55</v>
      </c>
      <c r="AC37" s="1">
        <v>421850</v>
      </c>
      <c r="AD37" s="2">
        <f t="shared" si="0"/>
        <v>127832</v>
      </c>
      <c r="AE37" s="3">
        <f t="shared" si="1"/>
        <v>0.24700059453032105</v>
      </c>
      <c r="AF37">
        <v>0</v>
      </c>
    </row>
    <row r="38" spans="1:32" x14ac:dyDescent="0.2">
      <c r="A38" s="1">
        <v>57</v>
      </c>
      <c r="B38" s="1" t="s">
        <v>181</v>
      </c>
      <c r="C38" s="1" t="s">
        <v>182</v>
      </c>
      <c r="D38" s="1" t="s">
        <v>183</v>
      </c>
      <c r="E38" s="1" t="s">
        <v>184</v>
      </c>
      <c r="F38" s="1" t="s">
        <v>185</v>
      </c>
      <c r="G38" s="1">
        <v>4103</v>
      </c>
      <c r="H38" s="1" t="s">
        <v>128</v>
      </c>
      <c r="I38" s="1">
        <v>0</v>
      </c>
      <c r="J38" s="1">
        <v>0</v>
      </c>
      <c r="K38" s="1">
        <v>0</v>
      </c>
      <c r="L38" s="1">
        <v>8</v>
      </c>
      <c r="M38" s="1">
        <v>99826</v>
      </c>
      <c r="N38" s="1">
        <v>0</v>
      </c>
      <c r="O38" s="1">
        <v>0</v>
      </c>
      <c r="P38" s="1">
        <v>0</v>
      </c>
      <c r="Q38" s="1">
        <v>0</v>
      </c>
      <c r="R38" s="1">
        <v>1</v>
      </c>
      <c r="S38" s="1">
        <v>386540</v>
      </c>
      <c r="T38" s="1">
        <v>0</v>
      </c>
      <c r="U38" s="1">
        <v>0</v>
      </c>
      <c r="V38" s="1">
        <v>0</v>
      </c>
      <c r="W38" s="1">
        <v>0</v>
      </c>
      <c r="X38" s="1">
        <v>1706219</v>
      </c>
      <c r="Y38" s="1" t="s">
        <v>40</v>
      </c>
      <c r="Z38" s="1">
        <v>4749.05</v>
      </c>
      <c r="AA38" s="1">
        <v>12</v>
      </c>
      <c r="AB38" s="1">
        <v>12</v>
      </c>
      <c r="AC38" s="1">
        <v>225324</v>
      </c>
      <c r="AD38" s="2">
        <f t="shared" si="0"/>
        <v>142184.91666666666</v>
      </c>
      <c r="AE38" s="3">
        <f t="shared" si="1"/>
        <v>3.3400518925179014E-2</v>
      </c>
      <c r="AF38">
        <v>0</v>
      </c>
    </row>
    <row r="39" spans="1:32" x14ac:dyDescent="0.2">
      <c r="A39" s="1">
        <v>58</v>
      </c>
      <c r="B39" s="1" t="s">
        <v>186</v>
      </c>
      <c r="C39" s="1" t="s">
        <v>187</v>
      </c>
      <c r="D39" s="1" t="s">
        <v>188</v>
      </c>
      <c r="E39" s="1" t="s">
        <v>189</v>
      </c>
      <c r="F39" s="1" t="s">
        <v>112</v>
      </c>
      <c r="G39" s="1">
        <v>18974</v>
      </c>
      <c r="H39" s="1" t="s">
        <v>5</v>
      </c>
      <c r="I39" s="1">
        <v>1</v>
      </c>
      <c r="J39" s="1">
        <v>222838</v>
      </c>
      <c r="K39" s="1">
        <v>0</v>
      </c>
      <c r="L39" s="1">
        <v>2</v>
      </c>
      <c r="M39" s="1">
        <v>30267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488205</v>
      </c>
      <c r="Y39" s="1" t="s">
        <v>145</v>
      </c>
      <c r="Z39" s="1">
        <v>3576.18</v>
      </c>
      <c r="AA39" s="1">
        <v>19</v>
      </c>
      <c r="AB39" s="1">
        <v>0</v>
      </c>
      <c r="AC39" s="1">
        <v>89210</v>
      </c>
      <c r="AD39" s="2">
        <f t="shared" si="0"/>
        <v>40683.75</v>
      </c>
      <c r="AE39" s="3">
        <f t="shared" si="1"/>
        <v>8.790192644483362E-2</v>
      </c>
      <c r="AF39">
        <v>0</v>
      </c>
    </row>
    <row r="40" spans="1:32" x14ac:dyDescent="0.2">
      <c r="A40" s="1">
        <v>59</v>
      </c>
      <c r="B40" s="1" t="s">
        <v>190</v>
      </c>
      <c r="C40" s="1" t="s">
        <v>191</v>
      </c>
      <c r="D40" s="1" t="s">
        <v>192</v>
      </c>
      <c r="E40" s="1" t="s">
        <v>193</v>
      </c>
      <c r="F40" s="1" t="s">
        <v>17</v>
      </c>
      <c r="G40" s="1">
        <v>1701</v>
      </c>
      <c r="H40" s="1" t="s">
        <v>5</v>
      </c>
      <c r="I40" s="1">
        <v>0</v>
      </c>
      <c r="J40" s="1">
        <v>0</v>
      </c>
      <c r="K40" s="1">
        <v>0</v>
      </c>
      <c r="L40" s="1">
        <v>17</v>
      </c>
      <c r="M40" s="1">
        <v>300067</v>
      </c>
      <c r="N40" s="1">
        <v>0</v>
      </c>
      <c r="O40" s="1">
        <v>1</v>
      </c>
      <c r="P40" s="1">
        <v>110792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1125123</v>
      </c>
      <c r="Y40" s="1" t="s">
        <v>158</v>
      </c>
      <c r="Z40" s="1">
        <v>18845.91</v>
      </c>
      <c r="AA40" s="1">
        <v>18.5</v>
      </c>
      <c r="AB40" s="1">
        <v>30</v>
      </c>
      <c r="AC40" s="1">
        <v>498498</v>
      </c>
      <c r="AD40" s="2">
        <f t="shared" si="0"/>
        <v>93760.25</v>
      </c>
      <c r="AE40" s="3">
        <f t="shared" si="1"/>
        <v>0.20100106388368205</v>
      </c>
      <c r="AF40">
        <v>1</v>
      </c>
    </row>
    <row r="41" spans="1:32" x14ac:dyDescent="0.2">
      <c r="A41" s="1">
        <v>60</v>
      </c>
      <c r="B41" s="1" t="s">
        <v>194</v>
      </c>
      <c r="C41" s="1" t="s">
        <v>195</v>
      </c>
      <c r="D41" s="1" t="s">
        <v>196</v>
      </c>
      <c r="E41" s="1" t="s">
        <v>197</v>
      </c>
      <c r="F41" s="1" t="s">
        <v>123</v>
      </c>
      <c r="G41" s="1">
        <v>60172</v>
      </c>
      <c r="H41" s="1" t="s">
        <v>5</v>
      </c>
      <c r="I41" s="1">
        <v>0</v>
      </c>
      <c r="J41" s="1">
        <v>0</v>
      </c>
      <c r="K41" s="1">
        <v>0</v>
      </c>
      <c r="L41" s="1">
        <v>8</v>
      </c>
      <c r="M41" s="1">
        <v>343102</v>
      </c>
      <c r="N41" s="1">
        <v>0</v>
      </c>
      <c r="O41" s="1">
        <v>1</v>
      </c>
      <c r="P41" s="1">
        <v>67474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1340241</v>
      </c>
      <c r="Y41" s="1" t="s">
        <v>12</v>
      </c>
      <c r="Z41" s="1">
        <v>9694.3700000000008</v>
      </c>
      <c r="AA41" s="1">
        <v>18.899999999999999</v>
      </c>
      <c r="AB41" s="1">
        <v>81</v>
      </c>
      <c r="AC41" s="1">
        <v>460878</v>
      </c>
      <c r="AD41" s="2">
        <f t="shared" si="0"/>
        <v>111686.75</v>
      </c>
      <c r="AE41" s="3">
        <f t="shared" si="1"/>
        <v>8.6799642750818709E-2</v>
      </c>
      <c r="AF41">
        <v>0</v>
      </c>
    </row>
    <row r="42" spans="1:32" x14ac:dyDescent="0.2">
      <c r="A42" s="1">
        <v>61</v>
      </c>
      <c r="B42" s="1" t="s">
        <v>198</v>
      </c>
      <c r="C42" s="1" t="s">
        <v>199</v>
      </c>
      <c r="D42" s="1" t="s">
        <v>200</v>
      </c>
      <c r="E42" s="1" t="s">
        <v>201</v>
      </c>
      <c r="F42" s="1" t="s">
        <v>11</v>
      </c>
      <c r="G42" s="1">
        <v>20748</v>
      </c>
      <c r="H42" s="1" t="s">
        <v>5</v>
      </c>
      <c r="I42" s="1">
        <v>1</v>
      </c>
      <c r="J42" s="1">
        <v>96778</v>
      </c>
      <c r="K42" s="1">
        <v>0</v>
      </c>
      <c r="L42" s="1">
        <v>11</v>
      </c>
      <c r="M42" s="1">
        <v>33763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705831</v>
      </c>
      <c r="Y42" s="1" t="s">
        <v>58</v>
      </c>
      <c r="Z42" s="1">
        <v>7940.48</v>
      </c>
      <c r="AA42" s="1">
        <v>18.5</v>
      </c>
      <c r="AB42" s="1">
        <v>46</v>
      </c>
      <c r="AC42" s="1">
        <v>131208</v>
      </c>
      <c r="AD42" s="2">
        <f t="shared" si="0"/>
        <v>58819.25</v>
      </c>
      <c r="AE42" s="3">
        <f t="shared" si="1"/>
        <v>0.13499798110312525</v>
      </c>
      <c r="AF42">
        <v>1</v>
      </c>
    </row>
    <row r="43" spans="1:32" x14ac:dyDescent="0.2">
      <c r="A43" s="1">
        <v>62</v>
      </c>
      <c r="B43" s="1" t="s">
        <v>202</v>
      </c>
      <c r="C43" s="1" t="s">
        <v>203</v>
      </c>
      <c r="D43" s="1" t="s">
        <v>204</v>
      </c>
      <c r="E43" s="1" t="s">
        <v>205</v>
      </c>
      <c r="F43" s="1" t="s">
        <v>89</v>
      </c>
      <c r="G43" s="1">
        <v>48192</v>
      </c>
      <c r="H43" s="1" t="s">
        <v>30</v>
      </c>
      <c r="I43" s="1">
        <v>1</v>
      </c>
      <c r="J43" s="1">
        <v>132836</v>
      </c>
      <c r="K43" s="1">
        <v>0</v>
      </c>
      <c r="L43" s="1">
        <v>9</v>
      </c>
      <c r="M43" s="1">
        <v>106780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803035</v>
      </c>
      <c r="Y43" s="1" t="s">
        <v>103</v>
      </c>
      <c r="Z43" s="1">
        <v>16461.98</v>
      </c>
      <c r="AA43" s="1">
        <v>13.5</v>
      </c>
      <c r="AB43" s="1">
        <v>23</v>
      </c>
      <c r="AC43" s="1">
        <v>128414</v>
      </c>
      <c r="AD43" s="2">
        <f t="shared" si="0"/>
        <v>66919.583333333328</v>
      </c>
      <c r="AE43" s="3">
        <f t="shared" si="1"/>
        <v>0.24599645096415476</v>
      </c>
      <c r="AF43">
        <v>1</v>
      </c>
    </row>
    <row r="44" spans="1:32" x14ac:dyDescent="0.2">
      <c r="A44" s="1">
        <v>63</v>
      </c>
      <c r="B44" s="1" t="s">
        <v>206</v>
      </c>
      <c r="C44" s="1" t="s">
        <v>207</v>
      </c>
      <c r="D44" s="1" t="s">
        <v>208</v>
      </c>
      <c r="E44" s="1" t="s">
        <v>209</v>
      </c>
      <c r="F44" s="1" t="s">
        <v>210</v>
      </c>
      <c r="G44" s="1">
        <v>80123</v>
      </c>
      <c r="H44" s="1" t="s">
        <v>18</v>
      </c>
      <c r="I44" s="1">
        <v>0</v>
      </c>
      <c r="J44" s="1">
        <v>0</v>
      </c>
      <c r="K44" s="1">
        <v>0</v>
      </c>
      <c r="L44" s="1">
        <v>18</v>
      </c>
      <c r="M44" s="1">
        <v>268109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1</v>
      </c>
      <c r="V44" s="1">
        <v>358622</v>
      </c>
      <c r="W44" s="1">
        <v>0</v>
      </c>
      <c r="X44" s="1">
        <v>1955081</v>
      </c>
      <c r="Y44" s="1" t="s">
        <v>24</v>
      </c>
      <c r="Z44" s="1">
        <v>46921.83</v>
      </c>
      <c r="AA44" s="1">
        <v>19.399999999999999</v>
      </c>
      <c r="AB44" s="1">
        <v>6</v>
      </c>
      <c r="AC44" s="1">
        <v>732182</v>
      </c>
      <c r="AD44" s="2">
        <f t="shared" si="0"/>
        <v>162923.41666666666</v>
      </c>
      <c r="AE44" s="3">
        <f t="shared" si="1"/>
        <v>0.28799930028474524</v>
      </c>
      <c r="AF44">
        <v>0</v>
      </c>
    </row>
    <row r="45" spans="1:32" x14ac:dyDescent="0.2">
      <c r="A45" s="1">
        <v>64</v>
      </c>
      <c r="B45" s="1" t="s">
        <v>211</v>
      </c>
      <c r="C45" s="1" t="s">
        <v>212</v>
      </c>
      <c r="D45" s="1" t="s">
        <v>213</v>
      </c>
      <c r="E45" s="1" t="s">
        <v>214</v>
      </c>
      <c r="F45" s="1" t="s">
        <v>123</v>
      </c>
      <c r="G45" s="1">
        <v>60008</v>
      </c>
      <c r="H45" s="1" t="s">
        <v>5</v>
      </c>
      <c r="I45" s="1">
        <v>0</v>
      </c>
      <c r="J45" s="1">
        <v>0</v>
      </c>
      <c r="K45" s="1">
        <v>0</v>
      </c>
      <c r="L45" s="1">
        <v>14</v>
      </c>
      <c r="M45" s="1">
        <v>12388</v>
      </c>
      <c r="N45" s="1">
        <v>1</v>
      </c>
      <c r="O45" s="1">
        <v>1</v>
      </c>
      <c r="P45" s="1">
        <v>331496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668002</v>
      </c>
      <c r="Y45" s="1" t="s">
        <v>145</v>
      </c>
      <c r="Z45" s="1">
        <v>8127.25</v>
      </c>
      <c r="AA45" s="1">
        <v>11.1</v>
      </c>
      <c r="AB45" s="1">
        <v>23</v>
      </c>
      <c r="AC45" s="1">
        <v>101728</v>
      </c>
      <c r="AD45" s="2">
        <f t="shared" si="0"/>
        <v>55666.833333333336</v>
      </c>
      <c r="AE45" s="3">
        <f t="shared" si="1"/>
        <v>0.14599806587405426</v>
      </c>
      <c r="AF45">
        <v>0</v>
      </c>
    </row>
    <row r="46" spans="1:32" x14ac:dyDescent="0.2">
      <c r="A46" s="1">
        <v>65</v>
      </c>
      <c r="B46" s="1" t="s">
        <v>215</v>
      </c>
      <c r="C46" s="1" t="s">
        <v>216</v>
      </c>
      <c r="D46" s="1" t="s">
        <v>217</v>
      </c>
      <c r="E46" s="1" t="s">
        <v>218</v>
      </c>
      <c r="F46" s="1" t="s">
        <v>68</v>
      </c>
      <c r="G46" s="1">
        <v>92831</v>
      </c>
      <c r="H46" s="1" t="s">
        <v>18</v>
      </c>
      <c r="I46" s="1">
        <v>1</v>
      </c>
      <c r="J46" s="1">
        <v>154990</v>
      </c>
      <c r="K46" s="1">
        <v>0</v>
      </c>
      <c r="L46" s="1">
        <v>11</v>
      </c>
      <c r="M46" s="1">
        <v>128098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898719</v>
      </c>
      <c r="Y46" s="1" t="s">
        <v>40</v>
      </c>
      <c r="Z46" s="1">
        <v>16326.51</v>
      </c>
      <c r="AA46" s="1">
        <v>15.6</v>
      </c>
      <c r="AB46" s="1">
        <v>9</v>
      </c>
      <c r="AC46" s="1">
        <v>228536</v>
      </c>
      <c r="AD46" s="2">
        <f t="shared" si="0"/>
        <v>74893.25</v>
      </c>
      <c r="AE46" s="3">
        <f t="shared" si="1"/>
        <v>0.21799708251411176</v>
      </c>
      <c r="AF46">
        <v>1</v>
      </c>
    </row>
    <row r="47" spans="1:32" x14ac:dyDescent="0.2">
      <c r="A47" s="1">
        <v>66</v>
      </c>
      <c r="B47" s="1" t="s">
        <v>219</v>
      </c>
      <c r="C47" s="1" t="s">
        <v>220</v>
      </c>
      <c r="D47" s="1" t="s">
        <v>221</v>
      </c>
      <c r="E47" s="1" t="s">
        <v>222</v>
      </c>
      <c r="F47" s="1" t="s">
        <v>118</v>
      </c>
      <c r="G47" s="1">
        <v>33594</v>
      </c>
      <c r="H47" s="1" t="s">
        <v>5</v>
      </c>
      <c r="I47" s="1">
        <v>0</v>
      </c>
      <c r="J47" s="1">
        <v>0</v>
      </c>
      <c r="K47" s="1">
        <v>0</v>
      </c>
      <c r="L47" s="1">
        <v>10</v>
      </c>
      <c r="M47" s="1">
        <v>222509</v>
      </c>
      <c r="N47" s="1">
        <v>0</v>
      </c>
      <c r="O47" s="1">
        <v>0</v>
      </c>
      <c r="P47" s="1">
        <v>0</v>
      </c>
      <c r="Q47" s="1">
        <v>0</v>
      </c>
      <c r="R47" s="1">
        <v>1</v>
      </c>
      <c r="S47" s="1">
        <v>395802</v>
      </c>
      <c r="T47" s="1">
        <v>0</v>
      </c>
      <c r="U47" s="1">
        <v>0</v>
      </c>
      <c r="V47" s="1">
        <v>0</v>
      </c>
      <c r="W47" s="1">
        <v>0</v>
      </c>
      <c r="X47" s="1">
        <v>861593</v>
      </c>
      <c r="Y47" s="1" t="s">
        <v>12</v>
      </c>
      <c r="Z47" s="1">
        <v>18093.32</v>
      </c>
      <c r="AA47" s="1">
        <v>24.5</v>
      </c>
      <c r="AB47" s="1">
        <v>76</v>
      </c>
      <c r="AC47" s="1">
        <v>552904</v>
      </c>
      <c r="AD47" s="2">
        <f t="shared" si="0"/>
        <v>71799.416666666672</v>
      </c>
      <c r="AE47" s="3">
        <f t="shared" si="1"/>
        <v>0.25199814761726241</v>
      </c>
      <c r="AF47">
        <v>1</v>
      </c>
    </row>
    <row r="48" spans="1:32" x14ac:dyDescent="0.2">
      <c r="A48" s="1">
        <v>67</v>
      </c>
      <c r="B48" s="1" t="s">
        <v>223</v>
      </c>
      <c r="C48" s="1" t="s">
        <v>224</v>
      </c>
      <c r="D48" s="1" t="s">
        <v>225</v>
      </c>
      <c r="E48" s="1" t="s">
        <v>226</v>
      </c>
      <c r="F48" s="1" t="s">
        <v>227</v>
      </c>
      <c r="G48" s="1">
        <v>25801</v>
      </c>
      <c r="H48" s="1" t="s">
        <v>128</v>
      </c>
      <c r="I48" s="1">
        <v>0</v>
      </c>
      <c r="J48" s="1">
        <v>0</v>
      </c>
      <c r="K48" s="1">
        <v>0</v>
      </c>
      <c r="L48" s="1">
        <v>5</v>
      </c>
      <c r="M48" s="1">
        <v>269477</v>
      </c>
      <c r="N48" s="1">
        <v>0</v>
      </c>
      <c r="O48" s="1">
        <v>0</v>
      </c>
      <c r="P48" s="1">
        <v>0</v>
      </c>
      <c r="Q48" s="1">
        <v>0</v>
      </c>
      <c r="R48" s="1">
        <v>1</v>
      </c>
      <c r="S48" s="1">
        <v>253308</v>
      </c>
      <c r="T48" s="1">
        <v>0</v>
      </c>
      <c r="U48" s="1">
        <v>0</v>
      </c>
      <c r="V48" s="1">
        <v>0</v>
      </c>
      <c r="W48" s="1">
        <v>0</v>
      </c>
      <c r="X48" s="1">
        <v>608722</v>
      </c>
      <c r="Y48" s="1" t="s">
        <v>46</v>
      </c>
      <c r="Z48" s="1">
        <v>11667.33</v>
      </c>
      <c r="AA48" s="1">
        <v>16.8</v>
      </c>
      <c r="AB48" s="1">
        <v>63</v>
      </c>
      <c r="AC48" s="1">
        <v>363242</v>
      </c>
      <c r="AD48" s="2">
        <f t="shared" si="0"/>
        <v>50726.833333333336</v>
      </c>
      <c r="AE48" s="3">
        <f t="shared" si="1"/>
        <v>0.23000312129346401</v>
      </c>
      <c r="AF48">
        <v>0</v>
      </c>
    </row>
    <row r="49" spans="1:32" x14ac:dyDescent="0.2">
      <c r="A49" s="1">
        <v>68</v>
      </c>
      <c r="B49" s="1" t="s">
        <v>228</v>
      </c>
      <c r="C49" s="1" t="s">
        <v>229</v>
      </c>
      <c r="D49" s="1" t="s">
        <v>230</v>
      </c>
      <c r="E49" s="1" t="s">
        <v>231</v>
      </c>
      <c r="F49" s="1" t="s">
        <v>232</v>
      </c>
      <c r="G49" s="1">
        <v>52001</v>
      </c>
      <c r="H49" s="1" t="s">
        <v>5</v>
      </c>
      <c r="I49" s="1">
        <v>0</v>
      </c>
      <c r="J49" s="1">
        <v>0</v>
      </c>
      <c r="K49" s="1">
        <v>0</v>
      </c>
      <c r="L49" s="1">
        <v>10</v>
      </c>
      <c r="M49" s="1">
        <v>391742</v>
      </c>
      <c r="N49" s="1">
        <v>0</v>
      </c>
      <c r="O49" s="1">
        <v>1</v>
      </c>
      <c r="P49" s="1">
        <v>140184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1007266</v>
      </c>
      <c r="Y49" s="1" t="s">
        <v>12</v>
      </c>
      <c r="Z49" s="1">
        <v>8519.7900000000009</v>
      </c>
      <c r="AA49" s="1">
        <v>31</v>
      </c>
      <c r="AB49" s="1">
        <v>73</v>
      </c>
      <c r="AC49" s="1">
        <v>623920</v>
      </c>
      <c r="AD49" s="2">
        <f t="shared" si="0"/>
        <v>83938.833333333328</v>
      </c>
      <c r="AE49" s="3">
        <f t="shared" si="1"/>
        <v>0.10149998113705815</v>
      </c>
      <c r="AF49">
        <v>0</v>
      </c>
    </row>
    <row r="50" spans="1:32" x14ac:dyDescent="0.2">
      <c r="A50" s="1">
        <v>69</v>
      </c>
      <c r="B50" s="1" t="s">
        <v>233</v>
      </c>
      <c r="C50" s="1" t="s">
        <v>234</v>
      </c>
      <c r="D50" s="1" t="s">
        <v>235</v>
      </c>
      <c r="E50" s="1" t="s">
        <v>236</v>
      </c>
      <c r="F50" s="1" t="s">
        <v>45</v>
      </c>
      <c r="G50" s="1">
        <v>55303</v>
      </c>
      <c r="H50" s="1" t="s">
        <v>237</v>
      </c>
      <c r="I50" s="1">
        <v>0</v>
      </c>
      <c r="J50" s="1">
        <v>0</v>
      </c>
      <c r="K50" s="1">
        <v>0</v>
      </c>
      <c r="L50" s="1">
        <v>5</v>
      </c>
      <c r="M50" s="1">
        <v>34618</v>
      </c>
      <c r="N50" s="1">
        <v>0</v>
      </c>
      <c r="O50" s="1">
        <v>1</v>
      </c>
      <c r="P50" s="1">
        <v>449394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1084406</v>
      </c>
      <c r="Y50" s="1" t="s">
        <v>24</v>
      </c>
      <c r="Z50" s="1">
        <v>6181.08</v>
      </c>
      <c r="AA50" s="1">
        <v>11.7</v>
      </c>
      <c r="AB50" s="1">
        <v>7</v>
      </c>
      <c r="AC50" s="1">
        <v>94798</v>
      </c>
      <c r="AD50" s="2">
        <f t="shared" si="0"/>
        <v>90367.166666666672</v>
      </c>
      <c r="AE50" s="3">
        <f t="shared" si="1"/>
        <v>6.8399621543960468E-2</v>
      </c>
      <c r="AF50">
        <v>0</v>
      </c>
    </row>
    <row r="51" spans="1:32" x14ac:dyDescent="0.2">
      <c r="A51" s="1">
        <v>70</v>
      </c>
      <c r="B51" s="1" t="s">
        <v>238</v>
      </c>
      <c r="C51" s="1" t="s">
        <v>239</v>
      </c>
      <c r="D51" s="1" t="s">
        <v>240</v>
      </c>
      <c r="E51" s="1" t="s">
        <v>241</v>
      </c>
      <c r="F51" s="1" t="s">
        <v>112</v>
      </c>
      <c r="G51" s="1">
        <v>19020</v>
      </c>
      <c r="H51" s="1" t="s">
        <v>5</v>
      </c>
      <c r="I51" s="1">
        <v>0</v>
      </c>
      <c r="J51" s="1">
        <v>0</v>
      </c>
      <c r="K51" s="1">
        <v>0</v>
      </c>
      <c r="L51" s="1">
        <v>13</v>
      </c>
      <c r="M51" s="1">
        <v>120764</v>
      </c>
      <c r="N51" s="1">
        <v>0</v>
      </c>
      <c r="O51" s="1">
        <v>1</v>
      </c>
      <c r="P51" s="1">
        <v>221914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1540881</v>
      </c>
      <c r="Y51" s="1" t="s">
        <v>12</v>
      </c>
      <c r="Z51" s="1">
        <v>19517.939999999999</v>
      </c>
      <c r="AA51" s="1">
        <v>19.600000000000001</v>
      </c>
      <c r="AB51" s="1">
        <v>55</v>
      </c>
      <c r="AC51" s="1">
        <v>228492</v>
      </c>
      <c r="AD51" s="2">
        <f t="shared" si="0"/>
        <v>128406.75</v>
      </c>
      <c r="AE51" s="3">
        <f t="shared" si="1"/>
        <v>0.15200088780379536</v>
      </c>
      <c r="AF51">
        <v>1</v>
      </c>
    </row>
    <row r="52" spans="1:32" x14ac:dyDescent="0.2">
      <c r="A52" s="1">
        <v>71</v>
      </c>
      <c r="B52" s="1" t="s">
        <v>242</v>
      </c>
      <c r="C52" s="1" t="s">
        <v>243</v>
      </c>
      <c r="D52" s="1" t="s">
        <v>244</v>
      </c>
      <c r="E52" s="1" t="s">
        <v>245</v>
      </c>
      <c r="F52" s="1" t="s">
        <v>11</v>
      </c>
      <c r="G52" s="1">
        <v>21244</v>
      </c>
      <c r="H52" s="1" t="s">
        <v>5</v>
      </c>
      <c r="I52" s="1">
        <v>0</v>
      </c>
      <c r="J52" s="1">
        <v>0</v>
      </c>
      <c r="K52" s="1">
        <v>0</v>
      </c>
      <c r="L52" s="1">
        <v>9</v>
      </c>
      <c r="M52" s="1">
        <v>523944</v>
      </c>
      <c r="N52" s="1">
        <v>0</v>
      </c>
      <c r="O52" s="1">
        <v>0</v>
      </c>
      <c r="P52" s="1">
        <v>0</v>
      </c>
      <c r="Q52" s="1">
        <v>0</v>
      </c>
      <c r="R52" s="1">
        <v>1</v>
      </c>
      <c r="S52" s="1">
        <v>620862</v>
      </c>
      <c r="T52" s="1">
        <v>0</v>
      </c>
      <c r="U52" s="1">
        <v>0</v>
      </c>
      <c r="V52" s="1">
        <v>0</v>
      </c>
      <c r="W52" s="1">
        <v>0</v>
      </c>
      <c r="X52" s="1">
        <v>2298012</v>
      </c>
      <c r="Y52" s="1" t="s">
        <v>12</v>
      </c>
      <c r="Z52" s="1">
        <v>17005.38</v>
      </c>
      <c r="AA52" s="1">
        <v>20</v>
      </c>
      <c r="AB52" s="1">
        <v>39</v>
      </c>
      <c r="AC52" s="1">
        <v>781814</v>
      </c>
      <c r="AD52" s="2">
        <f t="shared" si="0"/>
        <v>191501</v>
      </c>
      <c r="AE52" s="3">
        <f t="shared" si="1"/>
        <v>8.8800476237721998E-2</v>
      </c>
      <c r="AF52">
        <v>0</v>
      </c>
    </row>
    <row r="53" spans="1:32" x14ac:dyDescent="0.2">
      <c r="A53" s="1">
        <v>72</v>
      </c>
      <c r="B53" s="1" t="s">
        <v>246</v>
      </c>
      <c r="C53" s="1" t="s">
        <v>247</v>
      </c>
      <c r="D53" s="1" t="s">
        <v>248</v>
      </c>
      <c r="E53" s="1" t="s">
        <v>249</v>
      </c>
      <c r="F53" s="1" t="s">
        <v>250</v>
      </c>
      <c r="G53" s="1">
        <v>39208</v>
      </c>
      <c r="H53" s="1" t="s">
        <v>18</v>
      </c>
      <c r="I53" s="1">
        <v>0</v>
      </c>
      <c r="J53" s="1">
        <v>0</v>
      </c>
      <c r="K53" s="1">
        <v>0</v>
      </c>
      <c r="L53" s="1">
        <v>12</v>
      </c>
      <c r="M53" s="1">
        <v>2000814</v>
      </c>
      <c r="N53" s="1">
        <v>0</v>
      </c>
      <c r="O53" s="1">
        <v>0</v>
      </c>
      <c r="P53" s="1">
        <v>0</v>
      </c>
      <c r="Q53" s="1">
        <v>0</v>
      </c>
      <c r="R53" s="1">
        <v>1</v>
      </c>
      <c r="S53" s="1">
        <v>322454</v>
      </c>
      <c r="T53" s="1">
        <v>0</v>
      </c>
      <c r="U53" s="1">
        <v>0</v>
      </c>
      <c r="V53" s="1">
        <v>0</v>
      </c>
      <c r="W53" s="1">
        <v>0</v>
      </c>
      <c r="X53" s="1">
        <v>2557951</v>
      </c>
      <c r="Y53" s="1" t="s">
        <v>145</v>
      </c>
      <c r="Z53" s="1">
        <v>43698.29</v>
      </c>
      <c r="AA53" s="1">
        <v>38.200000000000003</v>
      </c>
      <c r="AB53" s="1">
        <v>32</v>
      </c>
      <c r="AC53" s="1">
        <v>2376132</v>
      </c>
      <c r="AD53" s="2">
        <f t="shared" si="0"/>
        <v>213162.58333333334</v>
      </c>
      <c r="AE53" s="3">
        <f t="shared" si="1"/>
        <v>0.20499981430449604</v>
      </c>
      <c r="AF53">
        <v>0</v>
      </c>
    </row>
    <row r="54" spans="1:32" x14ac:dyDescent="0.2">
      <c r="A54" s="1">
        <v>73</v>
      </c>
      <c r="B54" s="1" t="s">
        <v>251</v>
      </c>
      <c r="C54" s="1" t="s">
        <v>252</v>
      </c>
      <c r="D54" s="1" t="s">
        <v>253</v>
      </c>
      <c r="E54" s="1" t="s">
        <v>254</v>
      </c>
      <c r="F54" s="1" t="s">
        <v>89</v>
      </c>
      <c r="G54" s="1">
        <v>49428</v>
      </c>
      <c r="H54" s="1" t="s">
        <v>30</v>
      </c>
      <c r="I54" s="1">
        <v>0</v>
      </c>
      <c r="J54" s="1">
        <v>0</v>
      </c>
      <c r="K54" s="1">
        <v>0</v>
      </c>
      <c r="L54" s="1">
        <v>12</v>
      </c>
      <c r="M54" s="1">
        <v>150138</v>
      </c>
      <c r="N54" s="1">
        <v>0</v>
      </c>
      <c r="O54" s="1">
        <v>0</v>
      </c>
      <c r="P54" s="1">
        <v>0</v>
      </c>
      <c r="Q54" s="1">
        <v>0</v>
      </c>
      <c r="R54" s="1">
        <v>1</v>
      </c>
      <c r="S54" s="1">
        <v>594770</v>
      </c>
      <c r="T54" s="1">
        <v>0</v>
      </c>
      <c r="U54" s="1">
        <v>0</v>
      </c>
      <c r="V54" s="1">
        <v>0</v>
      </c>
      <c r="W54" s="1">
        <v>0</v>
      </c>
      <c r="X54" s="1">
        <v>1163028</v>
      </c>
      <c r="Y54" s="1" t="s">
        <v>103</v>
      </c>
      <c r="Z54" s="1">
        <v>2704.08</v>
      </c>
      <c r="AA54" s="1">
        <v>10.5</v>
      </c>
      <c r="AB54" s="1">
        <v>2</v>
      </c>
      <c r="AC54" s="1">
        <v>783134</v>
      </c>
      <c r="AD54" s="2">
        <f t="shared" si="0"/>
        <v>96919</v>
      </c>
      <c r="AE54" s="3">
        <f t="shared" si="1"/>
        <v>2.7900411683983533E-2</v>
      </c>
      <c r="AF54">
        <v>1</v>
      </c>
    </row>
    <row r="55" spans="1:32" x14ac:dyDescent="0.2">
      <c r="A55" s="1">
        <v>74</v>
      </c>
      <c r="B55" s="1" t="s">
        <v>255</v>
      </c>
      <c r="C55" s="1" t="s">
        <v>256</v>
      </c>
      <c r="D55" s="1" t="s">
        <v>257</v>
      </c>
      <c r="E55" s="1" t="s">
        <v>258</v>
      </c>
      <c r="F55" s="1" t="s">
        <v>94</v>
      </c>
      <c r="G55" s="1">
        <v>8330</v>
      </c>
      <c r="H55" s="1" t="s">
        <v>18</v>
      </c>
      <c r="I55" s="1">
        <v>0</v>
      </c>
      <c r="J55" s="1">
        <v>0</v>
      </c>
      <c r="K55" s="1">
        <v>0</v>
      </c>
      <c r="L55" s="1">
        <v>8</v>
      </c>
      <c r="M55" s="1">
        <v>7353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>
        <v>223432</v>
      </c>
      <c r="W55" s="1">
        <v>0</v>
      </c>
      <c r="X55" s="1">
        <v>443897</v>
      </c>
      <c r="Y55" s="1" t="s">
        <v>6</v>
      </c>
      <c r="Z55" s="1">
        <v>4553.54</v>
      </c>
      <c r="AA55" s="1">
        <v>13.8</v>
      </c>
      <c r="AB55" s="1">
        <v>25</v>
      </c>
      <c r="AC55" s="1">
        <v>20130</v>
      </c>
      <c r="AD55" s="2">
        <f t="shared" si="0"/>
        <v>36991.416666666664</v>
      </c>
      <c r="AE55" s="3">
        <f t="shared" si="1"/>
        <v>0.12309720498223688</v>
      </c>
      <c r="AF55">
        <v>1</v>
      </c>
    </row>
    <row r="56" spans="1:32" x14ac:dyDescent="0.2">
      <c r="A56" s="1">
        <v>75</v>
      </c>
      <c r="B56" s="1" t="s">
        <v>259</v>
      </c>
      <c r="C56" s="1" t="s">
        <v>260</v>
      </c>
      <c r="D56" s="1" t="s">
        <v>261</v>
      </c>
      <c r="E56" s="1" t="s">
        <v>262</v>
      </c>
      <c r="F56" s="1" t="s">
        <v>94</v>
      </c>
      <c r="G56" s="1">
        <v>8807</v>
      </c>
      <c r="H56" s="1" t="s">
        <v>18</v>
      </c>
      <c r="I56" s="1">
        <v>1</v>
      </c>
      <c r="J56" s="1">
        <v>142912</v>
      </c>
      <c r="K56" s="1">
        <v>0</v>
      </c>
      <c r="L56" s="1">
        <v>7</v>
      </c>
      <c r="M56" s="1">
        <v>215992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1832075</v>
      </c>
      <c r="Y56" s="1" t="s">
        <v>51</v>
      </c>
      <c r="Z56" s="1">
        <v>2793.95</v>
      </c>
      <c r="AA56" s="1">
        <v>18</v>
      </c>
      <c r="AB56" s="1">
        <v>0</v>
      </c>
      <c r="AC56" s="1">
        <v>1078000</v>
      </c>
      <c r="AD56" s="2">
        <f t="shared" si="0"/>
        <v>152672.91666666666</v>
      </c>
      <c r="AE56" s="3">
        <f t="shared" si="1"/>
        <v>1.8300233341975627E-2</v>
      </c>
      <c r="AF56">
        <v>1</v>
      </c>
    </row>
    <row r="57" spans="1:32" x14ac:dyDescent="0.2">
      <c r="A57" s="1">
        <v>76</v>
      </c>
      <c r="B57" s="1" t="s">
        <v>263</v>
      </c>
      <c r="C57" s="1" t="s">
        <v>264</v>
      </c>
      <c r="D57" s="1" t="s">
        <v>265</v>
      </c>
      <c r="E57" s="1" t="s">
        <v>266</v>
      </c>
      <c r="F57" s="1" t="s">
        <v>118</v>
      </c>
      <c r="G57" s="1">
        <v>33904</v>
      </c>
      <c r="H57" s="1" t="s">
        <v>30</v>
      </c>
      <c r="I57" s="1">
        <v>1</v>
      </c>
      <c r="J57" s="1">
        <v>33220</v>
      </c>
      <c r="K57" s="1">
        <v>0</v>
      </c>
      <c r="L57" s="1">
        <v>3</v>
      </c>
      <c r="M57" s="1">
        <v>94658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803339</v>
      </c>
      <c r="Y57" s="1" t="s">
        <v>145</v>
      </c>
      <c r="Z57" s="1">
        <v>2122.11</v>
      </c>
      <c r="AA57" s="1">
        <v>32</v>
      </c>
      <c r="AB57" s="1">
        <v>37</v>
      </c>
      <c r="AC57" s="1">
        <v>193666</v>
      </c>
      <c r="AD57" s="2">
        <f t="shared" si="0"/>
        <v>66944.916666666672</v>
      </c>
      <c r="AE57" s="3">
        <f t="shared" si="1"/>
        <v>3.169934485939311E-2</v>
      </c>
      <c r="AF57">
        <v>0</v>
      </c>
    </row>
    <row r="58" spans="1:32" x14ac:dyDescent="0.2">
      <c r="A58" s="1">
        <v>77</v>
      </c>
      <c r="B58" s="1" t="s">
        <v>267</v>
      </c>
      <c r="C58" s="1" t="s">
        <v>268</v>
      </c>
      <c r="D58" s="1" t="s">
        <v>269</v>
      </c>
      <c r="E58" s="1" t="s">
        <v>270</v>
      </c>
      <c r="F58" s="1" t="s">
        <v>11</v>
      </c>
      <c r="G58" s="1">
        <v>20854</v>
      </c>
      <c r="H58" s="1" t="s">
        <v>5</v>
      </c>
      <c r="I58" s="1">
        <v>0</v>
      </c>
      <c r="J58" s="1">
        <v>0</v>
      </c>
      <c r="K58" s="1">
        <v>0</v>
      </c>
      <c r="L58" s="1">
        <v>9</v>
      </c>
      <c r="M58" s="1">
        <v>637602</v>
      </c>
      <c r="N58" s="1">
        <v>0</v>
      </c>
      <c r="O58" s="1">
        <v>1</v>
      </c>
      <c r="P58" s="1">
        <v>153472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1704034</v>
      </c>
      <c r="Y58" s="1" t="s">
        <v>158</v>
      </c>
      <c r="Z58" s="1">
        <v>39902.660000000003</v>
      </c>
      <c r="AA58" s="1">
        <v>20.2</v>
      </c>
      <c r="AB58" s="1">
        <v>55</v>
      </c>
      <c r="AC58" s="1">
        <v>1100264</v>
      </c>
      <c r="AD58" s="2">
        <f t="shared" si="0"/>
        <v>142002.83333333334</v>
      </c>
      <c r="AE58" s="3">
        <f t="shared" si="1"/>
        <v>0.28099904109894519</v>
      </c>
      <c r="AF58">
        <v>1</v>
      </c>
    </row>
    <row r="59" spans="1:32" x14ac:dyDescent="0.2">
      <c r="A59" s="1">
        <v>78</v>
      </c>
      <c r="B59" s="1" t="s">
        <v>271</v>
      </c>
      <c r="C59" s="1" t="s">
        <v>272</v>
      </c>
      <c r="D59" s="1" t="s">
        <v>273</v>
      </c>
      <c r="E59" s="1" t="s">
        <v>274</v>
      </c>
      <c r="F59" s="1" t="s">
        <v>123</v>
      </c>
      <c r="G59" s="1">
        <v>60188</v>
      </c>
      <c r="H59" s="1" t="s">
        <v>30</v>
      </c>
      <c r="I59" s="1">
        <v>1</v>
      </c>
      <c r="J59" s="1">
        <v>78298</v>
      </c>
      <c r="K59" s="1">
        <v>0</v>
      </c>
      <c r="L59" s="1">
        <v>6</v>
      </c>
      <c r="M59" s="1">
        <v>46037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231838</v>
      </c>
      <c r="Y59" s="1" t="s">
        <v>6</v>
      </c>
      <c r="Z59" s="1">
        <v>2318.38</v>
      </c>
      <c r="AA59" s="1">
        <v>32.700000000000003</v>
      </c>
      <c r="AB59" s="1">
        <v>8</v>
      </c>
      <c r="AC59" s="1">
        <v>55946</v>
      </c>
      <c r="AD59" s="2">
        <f t="shared" si="0"/>
        <v>19319.833333333332</v>
      </c>
      <c r="AE59" s="3">
        <f t="shared" si="1"/>
        <v>0.12000000000000001</v>
      </c>
      <c r="AF59">
        <v>1</v>
      </c>
    </row>
    <row r="60" spans="1:32" x14ac:dyDescent="0.2">
      <c r="A60" s="1">
        <v>79</v>
      </c>
      <c r="B60" s="1" t="s">
        <v>275</v>
      </c>
      <c r="C60" s="1" t="s">
        <v>276</v>
      </c>
      <c r="D60" s="1" t="s">
        <v>277</v>
      </c>
      <c r="E60" s="1" t="s">
        <v>278</v>
      </c>
      <c r="F60" s="1" t="s">
        <v>279</v>
      </c>
      <c r="G60" s="1">
        <v>36532</v>
      </c>
      <c r="H60" s="1" t="s">
        <v>128</v>
      </c>
      <c r="I60" s="1">
        <v>0</v>
      </c>
      <c r="J60" s="1">
        <v>0</v>
      </c>
      <c r="K60" s="1">
        <v>0</v>
      </c>
      <c r="L60" s="1">
        <v>2</v>
      </c>
      <c r="M60" s="1">
        <v>28177</v>
      </c>
      <c r="N60" s="1">
        <v>0</v>
      </c>
      <c r="O60" s="1">
        <v>1</v>
      </c>
      <c r="P60" s="1">
        <v>43670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603554</v>
      </c>
      <c r="Y60" s="1" t="s">
        <v>145</v>
      </c>
      <c r="Z60" s="1">
        <v>1227.21</v>
      </c>
      <c r="AA60" s="1">
        <v>31.4</v>
      </c>
      <c r="AB60" s="1">
        <v>6</v>
      </c>
      <c r="AC60" s="1">
        <v>39314</v>
      </c>
      <c r="AD60" s="2">
        <f t="shared" si="0"/>
        <v>50296.166666666664</v>
      </c>
      <c r="AE60" s="3">
        <f t="shared" si="1"/>
        <v>2.4399672605930872E-2</v>
      </c>
      <c r="AF60">
        <v>1</v>
      </c>
    </row>
    <row r="61" spans="1:32" x14ac:dyDescent="0.2">
      <c r="A61" s="1">
        <v>80</v>
      </c>
      <c r="B61" s="1" t="s">
        <v>280</v>
      </c>
      <c r="C61" s="1" t="s">
        <v>281</v>
      </c>
      <c r="D61" s="1" t="s">
        <v>282</v>
      </c>
      <c r="E61" s="1" t="s">
        <v>283</v>
      </c>
      <c r="F61" s="1" t="s">
        <v>112</v>
      </c>
      <c r="G61" s="1">
        <v>17201</v>
      </c>
      <c r="H61" s="1" t="s">
        <v>18</v>
      </c>
      <c r="I61" s="1">
        <v>0</v>
      </c>
      <c r="J61" s="1">
        <v>0</v>
      </c>
      <c r="K61" s="1">
        <v>0</v>
      </c>
      <c r="L61" s="1">
        <v>10</v>
      </c>
      <c r="M61" s="1">
        <v>378271</v>
      </c>
      <c r="N61" s="1">
        <v>0</v>
      </c>
      <c r="O61" s="1">
        <v>0</v>
      </c>
      <c r="P61" s="1">
        <v>0</v>
      </c>
      <c r="Q61" s="1">
        <v>0</v>
      </c>
      <c r="R61" s="1">
        <v>1</v>
      </c>
      <c r="S61" s="1">
        <v>773454</v>
      </c>
      <c r="T61" s="1">
        <v>0</v>
      </c>
      <c r="U61" s="1">
        <v>0</v>
      </c>
      <c r="V61" s="1">
        <v>0</v>
      </c>
      <c r="W61" s="1">
        <v>0</v>
      </c>
      <c r="X61" s="1">
        <v>1915390</v>
      </c>
      <c r="Y61" s="1" t="s">
        <v>46</v>
      </c>
      <c r="Z61" s="1">
        <v>19952.09</v>
      </c>
      <c r="AA61" s="1">
        <v>13.5</v>
      </c>
      <c r="AB61" s="1">
        <v>62</v>
      </c>
      <c r="AC61" s="1">
        <v>767074</v>
      </c>
      <c r="AD61" s="2">
        <f t="shared" si="0"/>
        <v>159615.83333333334</v>
      </c>
      <c r="AE61" s="3">
        <f t="shared" si="1"/>
        <v>0.12500069437555797</v>
      </c>
      <c r="AF61">
        <v>1</v>
      </c>
    </row>
    <row r="62" spans="1:32" x14ac:dyDescent="0.2">
      <c r="A62" s="1">
        <v>81</v>
      </c>
      <c r="B62" s="1" t="s">
        <v>284</v>
      </c>
      <c r="C62" s="1" t="s">
        <v>285</v>
      </c>
      <c r="D62" s="1" t="s">
        <v>286</v>
      </c>
      <c r="E62" s="1" t="s">
        <v>287</v>
      </c>
      <c r="F62" s="1" t="s">
        <v>56</v>
      </c>
      <c r="G62" s="1">
        <v>11413</v>
      </c>
      <c r="H62" s="1" t="s">
        <v>237</v>
      </c>
      <c r="I62" s="1">
        <v>0</v>
      </c>
      <c r="J62" s="1">
        <v>0</v>
      </c>
      <c r="K62" s="1">
        <v>0</v>
      </c>
      <c r="L62" s="1">
        <v>9</v>
      </c>
      <c r="M62" s="1">
        <v>35549</v>
      </c>
      <c r="N62" s="1">
        <v>0</v>
      </c>
      <c r="O62" s="1">
        <v>0</v>
      </c>
      <c r="P62" s="1">
        <v>0</v>
      </c>
      <c r="Q62" s="1">
        <v>0</v>
      </c>
      <c r="R62" s="1">
        <v>1</v>
      </c>
      <c r="S62" s="1">
        <v>273438</v>
      </c>
      <c r="T62" s="1">
        <v>0</v>
      </c>
      <c r="U62" s="1">
        <v>0</v>
      </c>
      <c r="V62" s="1">
        <v>0</v>
      </c>
      <c r="W62" s="1">
        <v>0</v>
      </c>
      <c r="X62" s="1">
        <v>741228</v>
      </c>
      <c r="Y62" s="1" t="s">
        <v>12</v>
      </c>
      <c r="Z62" s="1">
        <v>10871.23</v>
      </c>
      <c r="AA62" s="1">
        <v>30.3</v>
      </c>
      <c r="AB62" s="1">
        <v>18</v>
      </c>
      <c r="AC62" s="1">
        <v>260458</v>
      </c>
      <c r="AD62" s="2">
        <f t="shared" si="0"/>
        <v>61769</v>
      </c>
      <c r="AE62" s="3">
        <f t="shared" si="1"/>
        <v>0.17599815441402644</v>
      </c>
      <c r="AF62">
        <v>1</v>
      </c>
    </row>
    <row r="63" spans="1:32" x14ac:dyDescent="0.2">
      <c r="A63" s="1">
        <v>82</v>
      </c>
      <c r="B63" s="1" t="s">
        <v>288</v>
      </c>
      <c r="C63" s="1" t="s">
        <v>289</v>
      </c>
      <c r="D63" s="1" t="s">
        <v>290</v>
      </c>
      <c r="E63" s="1" t="s">
        <v>291</v>
      </c>
      <c r="F63" s="1" t="s">
        <v>232</v>
      </c>
      <c r="G63" s="1">
        <v>50265</v>
      </c>
      <c r="H63" s="1" t="s">
        <v>5</v>
      </c>
      <c r="I63" s="1">
        <v>0</v>
      </c>
      <c r="J63" s="1">
        <v>0</v>
      </c>
      <c r="K63" s="1">
        <v>0</v>
      </c>
      <c r="L63" s="1">
        <v>12</v>
      </c>
      <c r="M63" s="1">
        <v>10279</v>
      </c>
      <c r="N63" s="1">
        <v>0</v>
      </c>
      <c r="O63" s="1">
        <v>1</v>
      </c>
      <c r="P63" s="1">
        <v>224224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871416</v>
      </c>
      <c r="Y63" s="1" t="s">
        <v>69</v>
      </c>
      <c r="Z63" s="1">
        <v>10631.26</v>
      </c>
      <c r="AA63" s="1">
        <v>14</v>
      </c>
      <c r="AB63" s="1">
        <v>12</v>
      </c>
      <c r="AC63" s="1">
        <v>228976</v>
      </c>
      <c r="AD63" s="2">
        <f t="shared" si="0"/>
        <v>72618</v>
      </c>
      <c r="AE63" s="3">
        <f t="shared" si="1"/>
        <v>0.14639979068550499</v>
      </c>
      <c r="AF63">
        <v>0</v>
      </c>
    </row>
    <row r="64" spans="1:32" x14ac:dyDescent="0.2">
      <c r="A64" s="1">
        <v>83</v>
      </c>
      <c r="B64" s="1" t="s">
        <v>292</v>
      </c>
      <c r="C64" s="1" t="s">
        <v>293</v>
      </c>
      <c r="D64" s="1" t="s">
        <v>294</v>
      </c>
      <c r="E64" s="1" t="s">
        <v>295</v>
      </c>
      <c r="F64" s="1" t="s">
        <v>89</v>
      </c>
      <c r="G64" s="1">
        <v>48035</v>
      </c>
      <c r="H64" s="1" t="s">
        <v>5</v>
      </c>
      <c r="I64" s="1">
        <v>1</v>
      </c>
      <c r="J64" s="1">
        <v>129998</v>
      </c>
      <c r="K64" s="1">
        <v>0</v>
      </c>
      <c r="L64" s="1">
        <v>11</v>
      </c>
      <c r="M64" s="1">
        <v>28671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1890025</v>
      </c>
      <c r="Y64" s="1" t="s">
        <v>158</v>
      </c>
      <c r="Z64" s="1">
        <v>18585.23</v>
      </c>
      <c r="AA64" s="1">
        <v>27.2</v>
      </c>
      <c r="AB64" s="1">
        <v>46</v>
      </c>
      <c r="AC64" s="1">
        <v>706288</v>
      </c>
      <c r="AD64" s="2">
        <f t="shared" si="0"/>
        <v>157502.08333333334</v>
      </c>
      <c r="AE64" s="3">
        <f t="shared" si="1"/>
        <v>0.11799989947222919</v>
      </c>
      <c r="AF64">
        <v>1</v>
      </c>
    </row>
    <row r="65" spans="1:32" x14ac:dyDescent="0.2">
      <c r="A65" s="1">
        <v>84</v>
      </c>
      <c r="B65" s="1" t="s">
        <v>75</v>
      </c>
      <c r="C65" s="1" t="s">
        <v>296</v>
      </c>
      <c r="D65" s="1" t="s">
        <v>297</v>
      </c>
      <c r="E65" s="1" t="s">
        <v>298</v>
      </c>
      <c r="F65" s="1" t="s">
        <v>94</v>
      </c>
      <c r="G65" s="1">
        <v>8060</v>
      </c>
      <c r="H65" s="1" t="s">
        <v>5</v>
      </c>
      <c r="I65" s="1">
        <v>1</v>
      </c>
      <c r="J65" s="1">
        <v>78738</v>
      </c>
      <c r="K65" s="1">
        <v>0</v>
      </c>
      <c r="L65" s="1">
        <v>10</v>
      </c>
      <c r="M65" s="1">
        <v>55632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262276</v>
      </c>
      <c r="Y65" s="1" t="s">
        <v>145</v>
      </c>
      <c r="Z65" s="1">
        <v>3584.35</v>
      </c>
      <c r="AA65" s="1">
        <v>13.6</v>
      </c>
      <c r="AB65" s="1">
        <v>0</v>
      </c>
      <c r="AC65" s="1">
        <v>156750</v>
      </c>
      <c r="AD65" s="2">
        <f t="shared" si="0"/>
        <v>21856.333333333332</v>
      </c>
      <c r="AE65" s="3">
        <f t="shared" si="1"/>
        <v>0.16399594320486816</v>
      </c>
      <c r="AF65">
        <v>1</v>
      </c>
    </row>
    <row r="66" spans="1:32" x14ac:dyDescent="0.2">
      <c r="A66" s="1">
        <v>85</v>
      </c>
      <c r="B66" s="1" t="s">
        <v>299</v>
      </c>
      <c r="C66" s="1" t="s">
        <v>300</v>
      </c>
      <c r="D66" s="1" t="s">
        <v>301</v>
      </c>
      <c r="E66" s="1" t="s">
        <v>302</v>
      </c>
      <c r="F66" s="1" t="s">
        <v>78</v>
      </c>
      <c r="G66" s="1">
        <v>46077</v>
      </c>
      <c r="H66" s="1" t="s">
        <v>5</v>
      </c>
      <c r="I66" s="1">
        <v>1</v>
      </c>
      <c r="J66" s="1">
        <v>217844</v>
      </c>
      <c r="K66" s="1">
        <v>0</v>
      </c>
      <c r="L66" s="1">
        <v>6</v>
      </c>
      <c r="M66" s="1">
        <v>42579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1128828</v>
      </c>
      <c r="Y66" s="1" t="s">
        <v>6</v>
      </c>
      <c r="Z66" s="1">
        <v>8974.27</v>
      </c>
      <c r="AA66" s="1">
        <v>13</v>
      </c>
      <c r="AB66" s="1">
        <v>21</v>
      </c>
      <c r="AC66" s="1">
        <v>278520</v>
      </c>
      <c r="AD66" s="2">
        <f t="shared" ref="AD66:AD81" si="2">X66/12</f>
        <v>94069</v>
      </c>
      <c r="AE66" s="3">
        <f t="shared" ref="AE66:AE81" si="3">Z66/AD66</f>
        <v>9.5400929105231277E-2</v>
      </c>
      <c r="AF66">
        <v>1</v>
      </c>
    </row>
    <row r="67" spans="1:32" x14ac:dyDescent="0.2">
      <c r="A67" s="1">
        <v>86</v>
      </c>
      <c r="B67" s="1" t="s">
        <v>303</v>
      </c>
      <c r="C67" s="1" t="s">
        <v>304</v>
      </c>
      <c r="D67" s="1" t="s">
        <v>305</v>
      </c>
      <c r="E67" s="1" t="s">
        <v>306</v>
      </c>
      <c r="F67" s="1" t="s">
        <v>4</v>
      </c>
      <c r="G67" s="1">
        <v>20175</v>
      </c>
      <c r="H67" s="1" t="s">
        <v>18</v>
      </c>
      <c r="I67" s="1">
        <v>0</v>
      </c>
      <c r="J67" s="1">
        <v>0</v>
      </c>
      <c r="K67" s="1">
        <v>0</v>
      </c>
      <c r="L67" s="1">
        <v>9</v>
      </c>
      <c r="M67" s="1">
        <v>84968</v>
      </c>
      <c r="N67" s="1">
        <v>0</v>
      </c>
      <c r="O67" s="1">
        <v>0</v>
      </c>
      <c r="P67" s="1">
        <v>0</v>
      </c>
      <c r="Q67" s="1">
        <v>0</v>
      </c>
      <c r="R67" s="1">
        <v>1</v>
      </c>
      <c r="S67" s="1">
        <v>223850</v>
      </c>
      <c r="T67" s="1">
        <v>0</v>
      </c>
      <c r="U67" s="1">
        <v>0</v>
      </c>
      <c r="V67" s="1">
        <v>0</v>
      </c>
      <c r="W67" s="1">
        <v>0</v>
      </c>
      <c r="X67" s="1">
        <v>1726929</v>
      </c>
      <c r="Y67" s="1" t="s">
        <v>6</v>
      </c>
      <c r="Z67" s="1">
        <v>14678.83</v>
      </c>
      <c r="AA67" s="1">
        <v>16.8</v>
      </c>
      <c r="AB67" s="1">
        <v>17</v>
      </c>
      <c r="AC67" s="1">
        <v>115456</v>
      </c>
      <c r="AD67" s="2">
        <f t="shared" si="2"/>
        <v>143910.75</v>
      </c>
      <c r="AE67" s="3">
        <f t="shared" si="3"/>
        <v>0.1019995379080437</v>
      </c>
      <c r="AF67">
        <v>1</v>
      </c>
    </row>
    <row r="68" spans="1:32" x14ac:dyDescent="0.2">
      <c r="A68" s="1">
        <v>87</v>
      </c>
      <c r="B68" s="1" t="s">
        <v>307</v>
      </c>
      <c r="C68" s="1" t="s">
        <v>308</v>
      </c>
      <c r="D68" s="1" t="s">
        <v>309</v>
      </c>
      <c r="E68" s="1" t="s">
        <v>310</v>
      </c>
      <c r="F68" s="1" t="s">
        <v>227</v>
      </c>
      <c r="G68" s="1">
        <v>26003</v>
      </c>
      <c r="H68" s="1" t="s">
        <v>18</v>
      </c>
      <c r="I68" s="1">
        <v>1</v>
      </c>
      <c r="J68" s="1">
        <v>134024</v>
      </c>
      <c r="K68" s="1">
        <v>0</v>
      </c>
      <c r="L68" s="1">
        <v>10</v>
      </c>
      <c r="M68" s="1">
        <v>18031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972249</v>
      </c>
      <c r="Y68" s="1" t="s">
        <v>145</v>
      </c>
      <c r="Z68" s="1">
        <v>9957.52</v>
      </c>
      <c r="AA68" s="1">
        <v>20.7</v>
      </c>
      <c r="AB68" s="1">
        <v>15</v>
      </c>
      <c r="AC68" s="1">
        <v>85228</v>
      </c>
      <c r="AD68" s="2">
        <f t="shared" si="2"/>
        <v>81020.75</v>
      </c>
      <c r="AE68" s="3">
        <f t="shared" si="3"/>
        <v>0.12290086181626313</v>
      </c>
      <c r="AF68">
        <v>1</v>
      </c>
    </row>
    <row r="69" spans="1:32" x14ac:dyDescent="0.2">
      <c r="A69" s="1">
        <v>88</v>
      </c>
      <c r="B69" s="1" t="s">
        <v>311</v>
      </c>
      <c r="C69" s="1" t="s">
        <v>312</v>
      </c>
      <c r="D69" s="1" t="s">
        <v>313</v>
      </c>
      <c r="E69" s="1" t="s">
        <v>314</v>
      </c>
      <c r="F69" s="1" t="s">
        <v>163</v>
      </c>
      <c r="G69" s="1">
        <v>6066</v>
      </c>
      <c r="H69" s="1" t="s">
        <v>5</v>
      </c>
      <c r="I69" s="1">
        <v>0</v>
      </c>
      <c r="J69" s="1">
        <v>0</v>
      </c>
      <c r="K69" s="1">
        <v>0</v>
      </c>
      <c r="L69" s="1">
        <v>5</v>
      </c>
      <c r="M69" s="1">
        <v>45410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1</v>
      </c>
      <c r="V69" s="1">
        <v>61578</v>
      </c>
      <c r="W69" s="1">
        <v>0</v>
      </c>
      <c r="X69" s="1">
        <v>860738</v>
      </c>
      <c r="Y69" s="1" t="s">
        <v>69</v>
      </c>
      <c r="Z69" s="1">
        <v>2524.7199999999998</v>
      </c>
      <c r="AA69" s="1">
        <v>18.7</v>
      </c>
      <c r="AB69" s="1">
        <v>44</v>
      </c>
      <c r="AC69" s="1">
        <v>171248</v>
      </c>
      <c r="AD69" s="2">
        <f t="shared" si="2"/>
        <v>71728.166666666672</v>
      </c>
      <c r="AE69" s="3">
        <f t="shared" si="3"/>
        <v>3.5198445984724734E-2</v>
      </c>
      <c r="AF69">
        <v>0</v>
      </c>
    </row>
    <row r="70" spans="1:32" x14ac:dyDescent="0.2">
      <c r="A70" s="1">
        <v>89</v>
      </c>
      <c r="B70" s="1" t="s">
        <v>315</v>
      </c>
      <c r="C70" s="1" t="s">
        <v>316</v>
      </c>
      <c r="D70" s="1" t="s">
        <v>317</v>
      </c>
      <c r="E70" s="1" t="s">
        <v>318</v>
      </c>
      <c r="F70" s="1" t="s">
        <v>23</v>
      </c>
      <c r="G70" s="1">
        <v>38053</v>
      </c>
      <c r="H70" s="1" t="s">
        <v>237</v>
      </c>
      <c r="I70" s="1">
        <v>0</v>
      </c>
      <c r="J70" s="1">
        <v>0</v>
      </c>
      <c r="K70" s="1">
        <v>0</v>
      </c>
      <c r="L70" s="1">
        <v>11</v>
      </c>
      <c r="M70" s="1">
        <v>113354</v>
      </c>
      <c r="N70" s="1">
        <v>0</v>
      </c>
      <c r="O70" s="1">
        <v>1</v>
      </c>
      <c r="P70" s="1">
        <v>759000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2996528</v>
      </c>
      <c r="Y70" s="1" t="s">
        <v>24</v>
      </c>
      <c r="Z70" s="1">
        <v>33461.279999999999</v>
      </c>
      <c r="AA70" s="1">
        <v>20.9</v>
      </c>
      <c r="AB70" s="1">
        <v>2</v>
      </c>
      <c r="AC70" s="1">
        <v>486156</v>
      </c>
      <c r="AD70" s="2">
        <f t="shared" si="2"/>
        <v>249710.66666666666</v>
      </c>
      <c r="AE70" s="3">
        <f t="shared" si="3"/>
        <v>0.13400020290149134</v>
      </c>
      <c r="AF70">
        <v>1</v>
      </c>
    </row>
    <row r="71" spans="1:32" x14ac:dyDescent="0.2">
      <c r="A71" s="1">
        <v>90</v>
      </c>
      <c r="B71" s="1" t="s">
        <v>319</v>
      </c>
      <c r="C71" s="1" t="s">
        <v>320</v>
      </c>
      <c r="D71" s="1" t="s">
        <v>321</v>
      </c>
      <c r="E71" s="1" t="s">
        <v>322</v>
      </c>
      <c r="F71" s="1" t="s">
        <v>23</v>
      </c>
      <c r="G71" s="1">
        <v>37830</v>
      </c>
      <c r="H71" s="1" t="s">
        <v>18</v>
      </c>
      <c r="I71" s="1">
        <v>0</v>
      </c>
      <c r="J71" s="1">
        <v>0</v>
      </c>
      <c r="K71" s="1">
        <v>0</v>
      </c>
      <c r="L71" s="1">
        <v>11</v>
      </c>
      <c r="M71" s="1">
        <v>27455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</v>
      </c>
      <c r="V71" s="1">
        <v>112662</v>
      </c>
      <c r="W71" s="1">
        <v>0</v>
      </c>
      <c r="X71" s="1">
        <v>1809769</v>
      </c>
      <c r="Y71" s="1" t="s">
        <v>58</v>
      </c>
      <c r="Z71" s="1">
        <v>11054.77</v>
      </c>
      <c r="AA71" s="1">
        <v>33.6</v>
      </c>
      <c r="AB71" s="1">
        <v>49</v>
      </c>
      <c r="AC71" s="1">
        <v>258500</v>
      </c>
      <c r="AD71" s="2">
        <f t="shared" si="2"/>
        <v>150814.08333333334</v>
      </c>
      <c r="AE71" s="3">
        <f t="shared" si="3"/>
        <v>7.3300647762228222E-2</v>
      </c>
      <c r="AF71">
        <v>0</v>
      </c>
    </row>
    <row r="72" spans="1:32" x14ac:dyDescent="0.2">
      <c r="A72" s="1">
        <v>91</v>
      </c>
      <c r="B72" s="1" t="s">
        <v>323</v>
      </c>
      <c r="C72" s="1" t="s">
        <v>324</v>
      </c>
      <c r="D72" s="1" t="s">
        <v>325</v>
      </c>
      <c r="E72" s="1" t="s">
        <v>326</v>
      </c>
      <c r="F72" s="1" t="s">
        <v>123</v>
      </c>
      <c r="G72" s="1">
        <v>60103</v>
      </c>
      <c r="H72" s="1" t="s">
        <v>18</v>
      </c>
      <c r="I72" s="1">
        <v>0</v>
      </c>
      <c r="J72" s="1">
        <v>0</v>
      </c>
      <c r="K72" s="1">
        <v>0</v>
      </c>
      <c r="L72" s="1">
        <v>15</v>
      </c>
      <c r="M72" s="1">
        <v>80655</v>
      </c>
      <c r="N72" s="1">
        <v>0</v>
      </c>
      <c r="O72" s="1">
        <v>0</v>
      </c>
      <c r="P72" s="1">
        <v>0</v>
      </c>
      <c r="Q72" s="1">
        <v>0</v>
      </c>
      <c r="R72" s="1">
        <v>1</v>
      </c>
      <c r="S72" s="1">
        <v>70884</v>
      </c>
      <c r="T72" s="1">
        <v>0</v>
      </c>
      <c r="U72" s="1">
        <v>0</v>
      </c>
      <c r="V72" s="1">
        <v>0</v>
      </c>
      <c r="W72" s="1">
        <v>0</v>
      </c>
      <c r="X72" s="1">
        <v>956555</v>
      </c>
      <c r="Y72" s="1" t="s">
        <v>24</v>
      </c>
      <c r="Z72" s="1">
        <v>12833.74</v>
      </c>
      <c r="AA72" s="1">
        <v>14.1</v>
      </c>
      <c r="AB72" s="1">
        <v>19</v>
      </c>
      <c r="AC72" s="1">
        <v>177210</v>
      </c>
      <c r="AD72" s="2">
        <f t="shared" si="2"/>
        <v>79712.916666666672</v>
      </c>
      <c r="AE72" s="3">
        <f t="shared" si="3"/>
        <v>0.1609995034263581</v>
      </c>
      <c r="AF72">
        <v>1</v>
      </c>
    </row>
    <row r="73" spans="1:32" x14ac:dyDescent="0.2">
      <c r="A73" s="1">
        <v>92</v>
      </c>
      <c r="B73" s="1" t="s">
        <v>327</v>
      </c>
      <c r="C73" s="1" t="s">
        <v>328</v>
      </c>
      <c r="D73" s="1" t="s">
        <v>329</v>
      </c>
      <c r="E73" s="1" t="s">
        <v>330</v>
      </c>
      <c r="F73" s="1" t="s">
        <v>331</v>
      </c>
      <c r="G73" s="1">
        <v>98607</v>
      </c>
      <c r="H73" s="1" t="s">
        <v>5</v>
      </c>
      <c r="I73" s="1">
        <v>0</v>
      </c>
      <c r="J73" s="1">
        <v>0</v>
      </c>
      <c r="K73" s="1">
        <v>0</v>
      </c>
      <c r="L73" s="1">
        <v>7</v>
      </c>
      <c r="M73" s="1">
        <v>82289</v>
      </c>
      <c r="N73" s="1">
        <v>0</v>
      </c>
      <c r="O73" s="1">
        <v>0</v>
      </c>
      <c r="P73" s="1">
        <v>0</v>
      </c>
      <c r="Q73" s="1">
        <v>0</v>
      </c>
      <c r="R73" s="1">
        <v>1</v>
      </c>
      <c r="S73" s="1">
        <v>198858</v>
      </c>
      <c r="T73" s="1">
        <v>0</v>
      </c>
      <c r="U73" s="1">
        <v>0</v>
      </c>
      <c r="V73" s="1">
        <v>0</v>
      </c>
      <c r="W73" s="1">
        <v>0</v>
      </c>
      <c r="X73" s="1">
        <v>1183073</v>
      </c>
      <c r="Y73" s="1" t="s">
        <v>58</v>
      </c>
      <c r="Z73" s="1">
        <v>8547.7199999999993</v>
      </c>
      <c r="AA73" s="1">
        <v>17</v>
      </c>
      <c r="AB73" s="1">
        <v>24</v>
      </c>
      <c r="AC73" s="1">
        <v>209858</v>
      </c>
      <c r="AD73" s="2">
        <f t="shared" si="2"/>
        <v>98589.416666666672</v>
      </c>
      <c r="AE73" s="3">
        <f t="shared" si="3"/>
        <v>8.6700178264570313E-2</v>
      </c>
      <c r="AF73">
        <v>1</v>
      </c>
    </row>
    <row r="74" spans="1:32" x14ac:dyDescent="0.2">
      <c r="A74" s="1">
        <v>93</v>
      </c>
      <c r="B74" s="1" t="s">
        <v>332</v>
      </c>
      <c r="C74" s="1" t="s">
        <v>333</v>
      </c>
      <c r="D74" s="1" t="s">
        <v>334</v>
      </c>
      <c r="E74" s="1" t="s">
        <v>335</v>
      </c>
      <c r="F74" s="1" t="s">
        <v>336</v>
      </c>
      <c r="G74" s="1">
        <v>42240</v>
      </c>
      <c r="H74" s="1" t="s">
        <v>5</v>
      </c>
      <c r="I74" s="1">
        <v>0</v>
      </c>
      <c r="J74" s="1">
        <v>0</v>
      </c>
      <c r="K74" s="1">
        <v>0</v>
      </c>
      <c r="L74" s="1">
        <v>5</v>
      </c>
      <c r="M74" s="1">
        <v>174021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  <c r="V74" s="1">
        <v>37224</v>
      </c>
      <c r="W74" s="1">
        <v>0</v>
      </c>
      <c r="X74" s="1">
        <v>1191015</v>
      </c>
      <c r="Y74" s="1" t="s">
        <v>12</v>
      </c>
      <c r="Z74" s="1">
        <v>12138.53</v>
      </c>
      <c r="AA74" s="1">
        <v>24</v>
      </c>
      <c r="AB74" s="1">
        <v>31</v>
      </c>
      <c r="AC74" s="1">
        <v>223388</v>
      </c>
      <c r="AD74" s="2">
        <f t="shared" si="2"/>
        <v>99251.25</v>
      </c>
      <c r="AE74" s="3">
        <f t="shared" si="3"/>
        <v>0.12230102895429529</v>
      </c>
      <c r="AF74">
        <v>1</v>
      </c>
    </row>
    <row r="75" spans="1:32" x14ac:dyDescent="0.2">
      <c r="A75" s="1">
        <v>94</v>
      </c>
      <c r="B75" s="1" t="s">
        <v>337</v>
      </c>
      <c r="C75" s="1" t="s">
        <v>338</v>
      </c>
      <c r="D75" s="1" t="s">
        <v>339</v>
      </c>
      <c r="E75" s="1" t="s">
        <v>340</v>
      </c>
      <c r="F75" s="1" t="s">
        <v>39</v>
      </c>
      <c r="G75" s="1">
        <v>28052</v>
      </c>
      <c r="H75" s="1" t="s">
        <v>18</v>
      </c>
      <c r="I75" s="1">
        <v>0</v>
      </c>
      <c r="J75" s="1">
        <v>0</v>
      </c>
      <c r="K75" s="1">
        <v>0</v>
      </c>
      <c r="L75" s="1">
        <v>12</v>
      </c>
      <c r="M75" s="1">
        <v>144609</v>
      </c>
      <c r="N75" s="1">
        <v>0</v>
      </c>
      <c r="O75" s="1">
        <v>1</v>
      </c>
      <c r="P75" s="1">
        <v>122298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1440390</v>
      </c>
      <c r="Y75" s="1" t="s">
        <v>69</v>
      </c>
      <c r="Z75" s="1">
        <v>13923.77</v>
      </c>
      <c r="AA75" s="1">
        <v>12.3</v>
      </c>
      <c r="AB75" s="1">
        <v>48</v>
      </c>
      <c r="AC75" s="1">
        <v>386716</v>
      </c>
      <c r="AD75" s="2">
        <f t="shared" si="2"/>
        <v>120032.5</v>
      </c>
      <c r="AE75" s="3">
        <f t="shared" si="3"/>
        <v>0.11600000000000001</v>
      </c>
      <c r="AF75">
        <v>1</v>
      </c>
    </row>
    <row r="76" spans="1:32" x14ac:dyDescent="0.2">
      <c r="A76" s="1">
        <v>95</v>
      </c>
      <c r="B76" s="1" t="s">
        <v>341</v>
      </c>
      <c r="C76" s="1" t="s">
        <v>342</v>
      </c>
      <c r="D76" s="1" t="s">
        <v>343</v>
      </c>
      <c r="E76" s="1" t="s">
        <v>344</v>
      </c>
      <c r="F76" s="1" t="s">
        <v>94</v>
      </c>
      <c r="G76" s="1">
        <v>7060</v>
      </c>
      <c r="H76" s="1" t="s">
        <v>30</v>
      </c>
      <c r="I76" s="1">
        <v>0</v>
      </c>
      <c r="J76" s="1">
        <v>0</v>
      </c>
      <c r="K76" s="1">
        <v>0</v>
      </c>
      <c r="L76" s="1">
        <v>7</v>
      </c>
      <c r="M76" s="1">
        <v>66918</v>
      </c>
      <c r="N76" s="1">
        <v>1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1</v>
      </c>
      <c r="V76" s="1">
        <v>175604</v>
      </c>
      <c r="W76" s="1">
        <v>0</v>
      </c>
      <c r="X76" s="1">
        <v>1099473</v>
      </c>
      <c r="Y76" s="1" t="s">
        <v>51</v>
      </c>
      <c r="Z76" s="1">
        <v>13559.92</v>
      </c>
      <c r="AA76" s="1">
        <v>14.3</v>
      </c>
      <c r="AB76" s="1">
        <v>9</v>
      </c>
      <c r="AC76" s="1">
        <v>136180</v>
      </c>
      <c r="AD76" s="2">
        <f t="shared" si="2"/>
        <v>91622.75</v>
      </c>
      <c r="AE76" s="3">
        <f t="shared" si="3"/>
        <v>0.14799730416299445</v>
      </c>
      <c r="AF76">
        <v>0</v>
      </c>
    </row>
    <row r="77" spans="1:32" x14ac:dyDescent="0.2">
      <c r="A77" s="1">
        <v>96</v>
      </c>
      <c r="B77" s="1" t="s">
        <v>345</v>
      </c>
      <c r="C77" s="1" t="s">
        <v>346</v>
      </c>
      <c r="D77" s="1" t="s">
        <v>347</v>
      </c>
      <c r="E77" s="1" t="s">
        <v>348</v>
      </c>
      <c r="F77" s="1" t="s">
        <v>45</v>
      </c>
      <c r="G77" s="1">
        <v>56001</v>
      </c>
      <c r="H77" s="1" t="s">
        <v>18</v>
      </c>
      <c r="I77" s="1">
        <v>0</v>
      </c>
      <c r="J77" s="1">
        <v>0</v>
      </c>
      <c r="K77" s="1">
        <v>0</v>
      </c>
      <c r="L77" s="1">
        <v>3</v>
      </c>
      <c r="M77" s="1">
        <v>183844</v>
      </c>
      <c r="N77" s="1">
        <v>0</v>
      </c>
      <c r="O77" s="1">
        <v>1</v>
      </c>
      <c r="P77" s="1">
        <v>112332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892525</v>
      </c>
      <c r="Y77" s="1" t="s">
        <v>145</v>
      </c>
      <c r="Z77" s="1">
        <v>8597.8799999999992</v>
      </c>
      <c r="AA77" s="1">
        <v>22.3</v>
      </c>
      <c r="AB77" s="1">
        <v>62</v>
      </c>
      <c r="AC77" s="1">
        <v>231374</v>
      </c>
      <c r="AD77" s="2">
        <f t="shared" si="2"/>
        <v>74377.083333333328</v>
      </c>
      <c r="AE77" s="3">
        <f t="shared" si="3"/>
        <v>0.11559850984566258</v>
      </c>
      <c r="AF77">
        <v>0</v>
      </c>
    </row>
    <row r="78" spans="1:32" x14ac:dyDescent="0.2">
      <c r="A78" s="1">
        <v>97</v>
      </c>
      <c r="B78" s="1" t="s">
        <v>349</v>
      </c>
      <c r="C78" s="1" t="s">
        <v>350</v>
      </c>
      <c r="D78" s="1" t="s">
        <v>351</v>
      </c>
      <c r="E78" s="1" t="s">
        <v>352</v>
      </c>
      <c r="F78" s="1" t="s">
        <v>94</v>
      </c>
      <c r="G78" s="1">
        <v>8520</v>
      </c>
      <c r="H78" s="1" t="s">
        <v>18</v>
      </c>
      <c r="I78" s="1">
        <v>0</v>
      </c>
      <c r="J78" s="1">
        <v>0</v>
      </c>
      <c r="K78" s="1">
        <v>0</v>
      </c>
      <c r="L78" s="1">
        <v>6</v>
      </c>
      <c r="M78" s="1">
        <v>53067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1</v>
      </c>
      <c r="V78" s="1">
        <v>138908</v>
      </c>
      <c r="W78" s="1">
        <v>0</v>
      </c>
      <c r="X78" s="1">
        <v>466830</v>
      </c>
      <c r="Y78" s="1" t="s">
        <v>158</v>
      </c>
      <c r="Z78" s="1">
        <v>1400.49</v>
      </c>
      <c r="AA78" s="1">
        <v>11.8</v>
      </c>
      <c r="AB78" s="1">
        <v>61</v>
      </c>
      <c r="AC78" s="1">
        <v>196944</v>
      </c>
      <c r="AD78" s="2">
        <f t="shared" si="2"/>
        <v>38902.5</v>
      </c>
      <c r="AE78" s="3">
        <f t="shared" si="3"/>
        <v>3.5999999999999997E-2</v>
      </c>
      <c r="AF78">
        <v>1</v>
      </c>
    </row>
    <row r="79" spans="1:32" x14ac:dyDescent="0.2">
      <c r="A79" s="1">
        <v>98</v>
      </c>
      <c r="B79" s="1" t="s">
        <v>353</v>
      </c>
      <c r="C79" s="1" t="s">
        <v>354</v>
      </c>
      <c r="D79" s="1" t="s">
        <v>355</v>
      </c>
      <c r="E79" s="1" t="s">
        <v>356</v>
      </c>
      <c r="F79" s="1" t="s">
        <v>112</v>
      </c>
      <c r="G79" s="1">
        <v>15317</v>
      </c>
      <c r="H79" s="1" t="s">
        <v>18</v>
      </c>
      <c r="I79" s="1">
        <v>0</v>
      </c>
      <c r="J79" s="1">
        <v>0</v>
      </c>
      <c r="K79" s="1">
        <v>0</v>
      </c>
      <c r="L79" s="1">
        <v>13</v>
      </c>
      <c r="M79" s="1">
        <v>89015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1</v>
      </c>
      <c r="V79" s="1">
        <v>250888</v>
      </c>
      <c r="W79" s="1">
        <v>0</v>
      </c>
      <c r="X79" s="1">
        <v>1040060</v>
      </c>
      <c r="Y79" s="1" t="s">
        <v>12</v>
      </c>
      <c r="Z79" s="1">
        <v>19761.14</v>
      </c>
      <c r="AA79" s="1">
        <v>12</v>
      </c>
      <c r="AB79" s="1">
        <v>18</v>
      </c>
      <c r="AC79" s="1">
        <v>330374</v>
      </c>
      <c r="AD79" s="2">
        <f t="shared" si="2"/>
        <v>86671.666666666672</v>
      </c>
      <c r="AE79" s="3">
        <f t="shared" si="3"/>
        <v>0.22799999999999998</v>
      </c>
      <c r="AF79">
        <v>0</v>
      </c>
    </row>
    <row r="80" spans="1:32" x14ac:dyDescent="0.2">
      <c r="A80" s="1">
        <v>99</v>
      </c>
      <c r="B80" s="1" t="s">
        <v>357</v>
      </c>
      <c r="C80" s="1" t="s">
        <v>358</v>
      </c>
      <c r="D80" s="1" t="s">
        <v>359</v>
      </c>
      <c r="E80" s="1" t="s">
        <v>360</v>
      </c>
      <c r="F80" s="1" t="s">
        <v>279</v>
      </c>
      <c r="G80" s="1">
        <v>36330</v>
      </c>
      <c r="H80" s="1" t="s">
        <v>18</v>
      </c>
      <c r="I80" s="1">
        <v>1</v>
      </c>
      <c r="J80" s="1">
        <v>215798</v>
      </c>
      <c r="K80" s="1">
        <v>0</v>
      </c>
      <c r="L80" s="1">
        <v>9</v>
      </c>
      <c r="M80" s="1">
        <v>42788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1211421</v>
      </c>
      <c r="Y80" s="1" t="s">
        <v>12</v>
      </c>
      <c r="Z80" s="1">
        <v>4270.25</v>
      </c>
      <c r="AA80" s="1">
        <v>28.3</v>
      </c>
      <c r="AB80" s="1">
        <v>72</v>
      </c>
      <c r="AC80" s="1">
        <v>107932</v>
      </c>
      <c r="AD80" s="2">
        <f t="shared" si="2"/>
        <v>100951.75</v>
      </c>
      <c r="AE80" s="3">
        <f t="shared" si="3"/>
        <v>4.2299910600856347E-2</v>
      </c>
      <c r="AF80">
        <v>1</v>
      </c>
    </row>
    <row r="81" spans="1:32" x14ac:dyDescent="0.2">
      <c r="A81" s="1">
        <v>100</v>
      </c>
      <c r="B81" s="1" t="s">
        <v>361</v>
      </c>
      <c r="C81" s="1" t="s">
        <v>362</v>
      </c>
      <c r="D81" s="1" t="s">
        <v>363</v>
      </c>
      <c r="E81" s="1" t="s">
        <v>364</v>
      </c>
      <c r="F81" s="1" t="s">
        <v>365</v>
      </c>
      <c r="G81" s="1">
        <v>45039</v>
      </c>
      <c r="H81" s="1" t="s">
        <v>18</v>
      </c>
      <c r="I81" s="1">
        <v>0</v>
      </c>
      <c r="J81" s="1">
        <v>0</v>
      </c>
      <c r="K81" s="1">
        <v>0</v>
      </c>
      <c r="L81" s="1">
        <v>14</v>
      </c>
      <c r="M81" s="1">
        <v>78204</v>
      </c>
      <c r="N81" s="1">
        <v>1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1</v>
      </c>
      <c r="V81" s="1">
        <v>191664</v>
      </c>
      <c r="W81" s="1">
        <v>0</v>
      </c>
      <c r="X81" s="1">
        <v>596809</v>
      </c>
      <c r="Y81" s="1" t="s">
        <v>145</v>
      </c>
      <c r="Z81" s="1">
        <v>4774.51</v>
      </c>
      <c r="AA81" s="1">
        <v>22.7</v>
      </c>
      <c r="AB81" s="1">
        <v>32</v>
      </c>
      <c r="AC81" s="1">
        <v>200772</v>
      </c>
      <c r="AD81" s="2">
        <f t="shared" si="2"/>
        <v>49734.083333333336</v>
      </c>
      <c r="AE81" s="3">
        <f t="shared" si="3"/>
        <v>9.6000764063544616E-2</v>
      </c>
      <c r="AF81">
        <v>0</v>
      </c>
    </row>
  </sheetData>
  <conditionalFormatting sqref="X42:AC60 Z61:AC61 X62:AC80">
    <cfRule type="expression" dxfId="26" priority="16">
      <formula>COUNTIF(#REF!,#REF!)&gt;1</formula>
    </cfRule>
  </conditionalFormatting>
  <conditionalFormatting sqref="V62:V80 W62:W81">
    <cfRule type="expression" dxfId="25" priority="15">
      <formula>COUNTIF(#REF!,#REF!)&gt;1</formula>
    </cfRule>
  </conditionalFormatting>
  <conditionalFormatting sqref="O42:O61">
    <cfRule type="expression" dxfId="24" priority="14">
      <formula>COUNTIF(#REF!,#REF!)&gt;1</formula>
    </cfRule>
  </conditionalFormatting>
  <conditionalFormatting sqref="P42:Q61">
    <cfRule type="expression" dxfId="23" priority="13">
      <formula>COUNTIF(#REF!,#REF!)&gt;1</formula>
    </cfRule>
  </conditionalFormatting>
  <conditionalFormatting sqref="O62:O81">
    <cfRule type="expression" dxfId="22" priority="12">
      <formula>COUNTIF(#REF!,#REF!)&gt;1</formula>
    </cfRule>
  </conditionalFormatting>
  <conditionalFormatting sqref="P62:Q81">
    <cfRule type="expression" dxfId="21" priority="11">
      <formula>COUNTIF(#REF!,#REF!)&gt;1</formula>
    </cfRule>
  </conditionalFormatting>
  <conditionalFormatting sqref="Z81">
    <cfRule type="expression" dxfId="20" priority="10">
      <formula>COUNTIF(#REF!,#REF!)&gt;1</formula>
    </cfRule>
  </conditionalFormatting>
  <conditionalFormatting sqref="AA81">
    <cfRule type="expression" dxfId="19" priority="9">
      <formula>COUNTIF(#REF!,#REF!)&gt;1</formula>
    </cfRule>
  </conditionalFormatting>
  <conditionalFormatting sqref="V81">
    <cfRule type="expression" dxfId="18" priority="8">
      <formula>COUNTIF(#REF!,#REF!)&gt;1</formula>
    </cfRule>
  </conditionalFormatting>
  <conditionalFormatting sqref="AB81">
    <cfRule type="expression" dxfId="17" priority="7">
      <formula>COUNTIF(#REF!,#REF!)&gt;1</formula>
    </cfRule>
  </conditionalFormatting>
  <conditionalFormatting sqref="L2:L21">
    <cfRule type="expression" dxfId="15" priority="2">
      <formula>COUNTIF(#REF!,#REF!)&gt;1</formula>
    </cfRule>
  </conditionalFormatting>
  <conditionalFormatting sqref="L81:M81">
    <cfRule type="expression" dxfId="14" priority="1">
      <formula>COUNTIF(#REF!,#REF!)&gt;1</formula>
    </cfRule>
  </conditionalFormatting>
  <conditionalFormatting sqref="M2:M21">
    <cfRule type="expression" dxfId="13" priority="27">
      <formula>COUNTIF(#REF!,#REF!)&gt;1</formula>
    </cfRule>
  </conditionalFormatting>
  <conditionalFormatting sqref="N2:O21 O22:O41">
    <cfRule type="expression" dxfId="12" priority="26">
      <formula>COUNTIF(#REF!,#REF!)&gt;1</formula>
    </cfRule>
  </conditionalFormatting>
  <conditionalFormatting sqref="S22:S41">
    <cfRule type="expression" dxfId="11" priority="25">
      <formula>COUNTIF(#REF!,#REF!)&gt;1</formula>
    </cfRule>
  </conditionalFormatting>
  <conditionalFormatting sqref="X22:AC26 X28:AC39 X27 Z27:AC27 X41:AC41 X40 Z40:AC40">
    <cfRule type="expression" dxfId="10" priority="24">
      <formula>COUNTIF(#REF!,#REF!)&gt;1</formula>
    </cfRule>
  </conditionalFormatting>
  <conditionalFormatting sqref="L22:N41 P22:Q41">
    <cfRule type="expression" dxfId="9" priority="23">
      <formula>COUNTIF(#REF!,#REF!)&gt;1</formula>
    </cfRule>
  </conditionalFormatting>
  <conditionalFormatting sqref="J42:K61">
    <cfRule type="expression" dxfId="7" priority="21">
      <formula>COUNTIF(#REF!,#REF!)&gt;1</formula>
    </cfRule>
  </conditionalFormatting>
  <conditionalFormatting sqref="L42:N61">
    <cfRule type="expression" dxfId="6" priority="20">
      <formula>COUNTIF(#REF!,#REF!)&gt;1</formula>
    </cfRule>
  </conditionalFormatting>
  <conditionalFormatting sqref="X61">
    <cfRule type="expression" dxfId="5" priority="19">
      <formula>COUNTIF(#REF!,#REF!)&gt;1</formula>
    </cfRule>
  </conditionalFormatting>
  <conditionalFormatting sqref="L62:N80 N81">
    <cfRule type="expression" dxfId="4" priority="18">
      <formula>COUNTIF(#REF!,#REF!)&gt;1</formula>
    </cfRule>
  </conditionalFormatting>
  <conditionalFormatting sqref="AC81">
    <cfRule type="expression" dxfId="2" priority="6">
      <formula>COUNTIF(#REF!,#REF!)&gt;1</formula>
    </cfRule>
  </conditionalFormatting>
  <conditionalFormatting sqref="AC2:AC21">
    <cfRule type="expression" dxfId="1" priority="5">
      <formula>COUNTIF(#REF!,#REF!)&gt;1</formula>
    </cfRule>
  </conditionalFormatting>
  <conditionalFormatting sqref="AB2:AB21">
    <cfRule type="expression" dxfId="0" priority="4">
      <formula>COUNTIF(#REF!,#REF!)&gt;1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 Inbasekaran</dc:creator>
  <cp:lastModifiedBy>BK Inbasekaran</cp:lastModifiedBy>
  <dcterms:created xsi:type="dcterms:W3CDTF">2020-07-09T06:27:04Z</dcterms:created>
  <dcterms:modified xsi:type="dcterms:W3CDTF">2020-07-09T11:35:23Z</dcterms:modified>
</cp:coreProperties>
</file>