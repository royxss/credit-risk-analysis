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Sheet1!$A$1:$AA$101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<sst xmlns="http://schemas.openxmlformats.org/spreadsheetml/2006/main" count="810" uniqueCount="482">
  <si>
    <t xml:space="preserve">Id</t>
  </si>
  <si>
    <t xml:space="preserve">First Name</t>
  </si>
  <si>
    <t xml:space="preserve">Last Name</t>
  </si>
  <si>
    <t xml:space="preserve">Address 1</t>
  </si>
  <si>
    <t xml:space="preserve">City </t>
  </si>
  <si>
    <t xml:space="preserve">State </t>
  </si>
  <si>
    <t xml:space="preserve">00Zip</t>
  </si>
  <si>
    <t xml:space="preserve">ScoreBucket</t>
  </si>
  <si>
    <t xml:space="preserve">StudentLoanQty</t>
  </si>
  <si>
    <t xml:space="preserve">StudentLoanBal</t>
  </si>
  <si>
    <t xml:space="preserve">StudentLoanDel</t>
  </si>
  <si>
    <t xml:space="preserve">CreditCardQty</t>
  </si>
  <si>
    <t xml:space="preserve">CreditCardBal</t>
  </si>
  <si>
    <t xml:space="preserve">CreditCardDel</t>
  </si>
  <si>
    <t xml:space="preserve">AutoLoanQty</t>
  </si>
  <si>
    <t xml:space="preserve">AutoLoanBal</t>
  </si>
  <si>
    <t xml:space="preserve">AutoLoanDel</t>
  </si>
  <si>
    <t xml:space="preserve">MortgageQty</t>
  </si>
  <si>
    <t xml:space="preserve">MortgageBal</t>
  </si>
  <si>
    <t xml:space="preserve">MortgageDel</t>
  </si>
  <si>
    <t xml:space="preserve">OtherQty</t>
  </si>
  <si>
    <t xml:space="preserve">OtherBal</t>
  </si>
  <si>
    <t xml:space="preserve">OtherDel</t>
  </si>
  <si>
    <t xml:space="preserve">Annual Income</t>
  </si>
  <si>
    <t xml:space="preserve">Years in current job</t>
  </si>
  <si>
    <t xml:space="preserve">Montthly Debt</t>
  </si>
  <si>
    <t xml:space="preserve">Years of Credit History</t>
  </si>
  <si>
    <t xml:space="preserve">Months since last delinquent</t>
  </si>
  <si>
    <t xml:space="preserve">Maximum Open Credit</t>
  </si>
  <si>
    <t xml:space="preserve">Monthly Income</t>
  </si>
  <si>
    <t xml:space="preserve">Debt Ratio</t>
  </si>
  <si>
    <t xml:space="preserve">Loan Status</t>
  </si>
  <si>
    <t xml:space="preserve">Isaias</t>
  </si>
  <si>
    <t xml:space="preserve">Lynch</t>
  </si>
  <si>
    <t xml:space="preserve">5 Old Strawberry Lane</t>
  </si>
  <si>
    <t xml:space="preserve">Chesapeake</t>
  </si>
  <si>
    <t xml:space="preserve">VA</t>
  </si>
  <si>
    <t xml:space="preserve">X</t>
  </si>
  <si>
    <t xml:space="preserve">Edna</t>
  </si>
  <si>
    <t xml:space="preserve">Jarvis</t>
  </si>
  <si>
    <t xml:space="preserve">778 E. Roehampton Lane</t>
  </si>
  <si>
    <t xml:space="preserve">Little Falls</t>
  </si>
  <si>
    <t xml:space="preserve">NJ</t>
  </si>
  <si>
    <t xml:space="preserve">D</t>
  </si>
  <si>
    <t xml:space="preserve">6 years</t>
  </si>
  <si>
    <t xml:space="preserve">Pedro</t>
  </si>
  <si>
    <t xml:space="preserve">Willis</t>
  </si>
  <si>
    <t xml:space="preserve">88 Oak Dr.</t>
  </si>
  <si>
    <t xml:space="preserve">Methuen</t>
  </si>
  <si>
    <t xml:space="preserve">MA</t>
  </si>
  <si>
    <t xml:space="preserve">B</t>
  </si>
  <si>
    <t xml:space="preserve">5 years</t>
  </si>
  <si>
    <t xml:space="preserve">Bryon</t>
  </si>
  <si>
    <t xml:space="preserve">Thompson</t>
  </si>
  <si>
    <t xml:space="preserve">8 Orange Drive</t>
  </si>
  <si>
    <t xml:space="preserve">Cape Coral</t>
  </si>
  <si>
    <t xml:space="preserve">FL</t>
  </si>
  <si>
    <t xml:space="preserve">Q</t>
  </si>
  <si>
    <t xml:space="preserve">4 years</t>
  </si>
  <si>
    <t xml:space="preserve">Kyle</t>
  </si>
  <si>
    <t xml:space="preserve">Moss</t>
  </si>
  <si>
    <t xml:space="preserve">358 Greenrose Lane</t>
  </si>
  <si>
    <t xml:space="preserve">Cincinnati</t>
  </si>
  <si>
    <t xml:space="preserve">OH</t>
  </si>
  <si>
    <t xml:space="preserve">A</t>
  </si>
  <si>
    <t xml:space="preserve">Amy</t>
  </si>
  <si>
    <t xml:space="preserve">Shaffer</t>
  </si>
  <si>
    <t xml:space="preserve">3 Mountainview Drive</t>
  </si>
  <si>
    <t xml:space="preserve">Roselle</t>
  </si>
  <si>
    <t xml:space="preserve">IL</t>
  </si>
  <si>
    <t xml:space="preserve">M</t>
  </si>
  <si>
    <t xml:space="preserve">7 years</t>
  </si>
  <si>
    <t xml:space="preserve">Casandra</t>
  </si>
  <si>
    <t xml:space="preserve">Chen</t>
  </si>
  <si>
    <t xml:space="preserve">9 Rose Street</t>
  </si>
  <si>
    <t xml:space="preserve">Solon</t>
  </si>
  <si>
    <t xml:space="preserve">E</t>
  </si>
  <si>
    <t xml:space="preserve">Louis</t>
  </si>
  <si>
    <t xml:space="preserve">Cunningham</t>
  </si>
  <si>
    <t xml:space="preserve">97 La Sierra Ave.</t>
  </si>
  <si>
    <t xml:space="preserve">Fullerton</t>
  </si>
  <si>
    <t xml:space="preserve">CA</t>
  </si>
  <si>
    <t xml:space="preserve">L</t>
  </si>
  <si>
    <t xml:space="preserve">Xavier</t>
  </si>
  <si>
    <t xml:space="preserve">Moon</t>
  </si>
  <si>
    <t xml:space="preserve">917 Ridgeview Rd.</t>
  </si>
  <si>
    <t xml:space="preserve">Potomac</t>
  </si>
  <si>
    <t xml:space="preserve">MD</t>
  </si>
  <si>
    <t xml:space="preserve">G</t>
  </si>
  <si>
    <t xml:space="preserve">Winston</t>
  </si>
  <si>
    <t xml:space="preserve">Beasley</t>
  </si>
  <si>
    <t xml:space="preserve">680 Smith Rd.</t>
  </si>
  <si>
    <t xml:space="preserve">Harrisonburg</t>
  </si>
  <si>
    <t xml:space="preserve">P</t>
  </si>
  <si>
    <t xml:space="preserve">Theodore</t>
  </si>
  <si>
    <t xml:space="preserve">Roth</t>
  </si>
  <si>
    <t xml:space="preserve">7714 Old Valley Avenue</t>
  </si>
  <si>
    <t xml:space="preserve">Westbury</t>
  </si>
  <si>
    <t xml:space="preserve">NY</t>
  </si>
  <si>
    <t xml:space="preserve">Adolfo</t>
  </si>
  <si>
    <t xml:space="preserve">Contreras</t>
  </si>
  <si>
    <t xml:space="preserve">592 Fordham St.</t>
  </si>
  <si>
    <t xml:space="preserve">Chelsea</t>
  </si>
  <si>
    <t xml:space="preserve">Kimberley</t>
  </si>
  <si>
    <t xml:space="preserve">Higgins</t>
  </si>
  <si>
    <t xml:space="preserve">71 West Marlborough Court</t>
  </si>
  <si>
    <t xml:space="preserve">Taylors</t>
  </si>
  <si>
    <t xml:space="preserve">SC</t>
  </si>
  <si>
    <t xml:space="preserve">H</t>
  </si>
  <si>
    <t xml:space="preserve">Sara</t>
  </si>
  <si>
    <t xml:space="preserve">Rosales</t>
  </si>
  <si>
    <t xml:space="preserve">7196 W. Jennings Street</t>
  </si>
  <si>
    <t xml:space="preserve">Levittown</t>
  </si>
  <si>
    <t xml:space="preserve">R</t>
  </si>
  <si>
    <t xml:space="preserve">Sallie</t>
  </si>
  <si>
    <t xml:space="preserve">Armstrong</t>
  </si>
  <si>
    <t xml:space="preserve">163 Foster Ave.</t>
  </si>
  <si>
    <t xml:space="preserve">Forney</t>
  </si>
  <si>
    <t xml:space="preserve">TX</t>
  </si>
  <si>
    <t xml:space="preserve">Leonor</t>
  </si>
  <si>
    <t xml:space="preserve">Gregory</t>
  </si>
  <si>
    <t xml:space="preserve">18 N. Harvard Street</t>
  </si>
  <si>
    <t xml:space="preserve">State College</t>
  </si>
  <si>
    <t xml:space="preserve">PA</t>
  </si>
  <si>
    <t xml:space="preserve">K</t>
  </si>
  <si>
    <t xml:space="preserve">Alex</t>
  </si>
  <si>
    <t xml:space="preserve">Wilkinson</t>
  </si>
  <si>
    <t xml:space="preserve">290 Branch Rd.</t>
  </si>
  <si>
    <t xml:space="preserve">La Vergne</t>
  </si>
  <si>
    <t xml:space="preserve">TN</t>
  </si>
  <si>
    <t xml:space="preserve">J</t>
  </si>
  <si>
    <t xml:space="preserve">Shannon</t>
  </si>
  <si>
    <t xml:space="preserve">Dodson</t>
  </si>
  <si>
    <t xml:space="preserve">7 East Manhattan Avenue</t>
  </si>
  <si>
    <t xml:space="preserve">Lorain</t>
  </si>
  <si>
    <t xml:space="preserve">Lou</t>
  </si>
  <si>
    <t xml:space="preserve">Gardner</t>
  </si>
  <si>
    <t xml:space="preserve">575 Country Club Ave.</t>
  </si>
  <si>
    <t xml:space="preserve">Royal Oak</t>
  </si>
  <si>
    <t xml:space="preserve">MI</t>
  </si>
  <si>
    <t xml:space="preserve">Merlin</t>
  </si>
  <si>
    <t xml:space="preserve">Benton</t>
  </si>
  <si>
    <t xml:space="preserve">98 Amherst St.</t>
  </si>
  <si>
    <t xml:space="preserve">North Miami Beach</t>
  </si>
  <si>
    <t xml:space="preserve">I</t>
  </si>
  <si>
    <t xml:space="preserve">Izzie</t>
  </si>
  <si>
    <t xml:space="preserve">Flynn</t>
  </si>
  <si>
    <t xml:space="preserve">39 Race Road</t>
  </si>
  <si>
    <t xml:space="preserve">Blacksburg</t>
  </si>
  <si>
    <t xml:space="preserve">C</t>
  </si>
  <si>
    <t xml:space="preserve">1 year</t>
  </si>
  <si>
    <t xml:space="preserve">Fully Paid</t>
  </si>
  <si>
    <t xml:space="preserve">Artur</t>
  </si>
  <si>
    <t xml:space="preserve">Craft</t>
  </si>
  <si>
    <t xml:space="preserve">981 Primrose Court</t>
  </si>
  <si>
    <t xml:space="preserve">Dundalk</t>
  </si>
  <si>
    <t xml:space="preserve">10+ years</t>
  </si>
  <si>
    <t xml:space="preserve">Lorraine</t>
  </si>
  <si>
    <t xml:space="preserve">Kramer</t>
  </si>
  <si>
    <t xml:space="preserve">8972 Acacia Rd.</t>
  </si>
  <si>
    <t xml:space="preserve">Randolph</t>
  </si>
  <si>
    <t xml:space="preserve">Evalyn</t>
  </si>
  <si>
    <t xml:space="preserve">Bevan</t>
  </si>
  <si>
    <t xml:space="preserve">128 South Smith Lane</t>
  </si>
  <si>
    <t xml:space="preserve">Hermitage</t>
  </si>
  <si>
    <t xml:space="preserve">2 years</t>
  </si>
  <si>
    <t xml:space="preserve">Matylda</t>
  </si>
  <si>
    <t xml:space="preserve">Williams</t>
  </si>
  <si>
    <t xml:space="preserve">589 Fulton Road</t>
  </si>
  <si>
    <t xml:space="preserve">Desoto</t>
  </si>
  <si>
    <t xml:space="preserve">Charged Off</t>
  </si>
  <si>
    <t xml:space="preserve">Killian</t>
  </si>
  <si>
    <t xml:space="preserve">72 Sheffield Ave.</t>
  </si>
  <si>
    <t xml:space="preserve">Sykesville</t>
  </si>
  <si>
    <t xml:space="preserve">Ritchie</t>
  </si>
  <si>
    <t xml:space="preserve">576 Golden Star Ave.</t>
  </si>
  <si>
    <t xml:space="preserve">Thomasville</t>
  </si>
  <si>
    <t xml:space="preserve">NC</t>
  </si>
  <si>
    <t xml:space="preserve">9 years</t>
  </si>
  <si>
    <t xml:space="preserve">Kit</t>
  </si>
  <si>
    <t xml:space="preserve">Baldwin</t>
  </si>
  <si>
    <t xml:space="preserve">8087 Addison St.</t>
  </si>
  <si>
    <t xml:space="preserve">Owatonna</t>
  </si>
  <si>
    <t xml:space="preserve">MN</t>
  </si>
  <si>
    <t xml:space="preserve">Randy</t>
  </si>
  <si>
    <t xml:space="preserve">Frey</t>
  </si>
  <si>
    <t xml:space="preserve">7 Cambridge Road</t>
  </si>
  <si>
    <t xml:space="preserve">Elizabeth City</t>
  </si>
  <si>
    <t xml:space="preserve">Ariana</t>
  </si>
  <si>
    <t xml:space="preserve">Nunez</t>
  </si>
  <si>
    <t xml:space="preserve">8405 Laurel St.</t>
  </si>
  <si>
    <t xml:space="preserve">Jamaica</t>
  </si>
  <si>
    <t xml:space="preserve">8 years</t>
  </si>
  <si>
    <t xml:space="preserve">Dickinson</t>
  </si>
  <si>
    <t xml:space="preserve">79 Academy Rd.</t>
  </si>
  <si>
    <t xml:space="preserve">Prior Lake</t>
  </si>
  <si>
    <t xml:space="preserve">Momina</t>
  </si>
  <si>
    <t xml:space="preserve">Potter</t>
  </si>
  <si>
    <t xml:space="preserve">9494C 10th Street</t>
  </si>
  <si>
    <t xml:space="preserve">Pomona</t>
  </si>
  <si>
    <t xml:space="preserve">3 years</t>
  </si>
  <si>
    <t xml:space="preserve">Jose</t>
  </si>
  <si>
    <t xml:space="preserve">Pitts</t>
  </si>
  <si>
    <t xml:space="preserve">19 Rockwell Drive</t>
  </si>
  <si>
    <t xml:space="preserve">Lockport</t>
  </si>
  <si>
    <t xml:space="preserve">Patrik</t>
  </si>
  <si>
    <t xml:space="preserve">Ali</t>
  </si>
  <si>
    <t xml:space="preserve">9051 West Ridgeview St.</t>
  </si>
  <si>
    <t xml:space="preserve">Schererville</t>
  </si>
  <si>
    <t xml:space="preserve">IN</t>
  </si>
  <si>
    <t xml:space="preserve">O</t>
  </si>
  <si>
    <t xml:space="preserve">Precious</t>
  </si>
  <si>
    <t xml:space="preserve">Marshall</t>
  </si>
  <si>
    <t xml:space="preserve">9905 Mammoth Avenue</t>
  </si>
  <si>
    <t xml:space="preserve">New Berlin</t>
  </si>
  <si>
    <t xml:space="preserve">WI</t>
  </si>
  <si>
    <t xml:space="preserve">Suleman</t>
  </si>
  <si>
    <t xml:space="preserve">Christie</t>
  </si>
  <si>
    <t xml:space="preserve">7212 Ramblewood Court</t>
  </si>
  <si>
    <t xml:space="preserve">Grosse Pointe</t>
  </si>
  <si>
    <t xml:space="preserve">Adrianna</t>
  </si>
  <si>
    <t xml:space="preserve">Braun</t>
  </si>
  <si>
    <t xml:space="preserve">494 Whitemarsh Lane</t>
  </si>
  <si>
    <t xml:space="preserve">East Brunswick</t>
  </si>
  <si>
    <t xml:space="preserve">Joan</t>
  </si>
  <si>
    <t xml:space="preserve">Robins</t>
  </si>
  <si>
    <t xml:space="preserve">696 Jefferson St.</t>
  </si>
  <si>
    <t xml:space="preserve">Toms River</t>
  </si>
  <si>
    <t xml:space="preserve">Kristy</t>
  </si>
  <si>
    <t xml:space="preserve">Morrow</t>
  </si>
  <si>
    <t xml:space="preserve">488 Alderwood Court</t>
  </si>
  <si>
    <t xml:space="preserve">Indian Trail</t>
  </si>
  <si>
    <t xml:space="preserve">Efa</t>
  </si>
  <si>
    <t xml:space="preserve">Joyner</t>
  </si>
  <si>
    <t xml:space="preserve">86 Myers Lane</t>
  </si>
  <si>
    <t xml:space="preserve">Hixson</t>
  </si>
  <si>
    <t xml:space="preserve">Elize</t>
  </si>
  <si>
    <t xml:space="preserve">Krueger</t>
  </si>
  <si>
    <t xml:space="preserve">7868 Oxford Ave.</t>
  </si>
  <si>
    <t xml:space="preserve">Altoona</t>
  </si>
  <si>
    <t xml:space="preserve">Kayden</t>
  </si>
  <si>
    <t xml:space="preserve">Ballard</t>
  </si>
  <si>
    <t xml:space="preserve">55 Manhattan Street</t>
  </si>
  <si>
    <t xml:space="preserve">Saint Johns</t>
  </si>
  <si>
    <t xml:space="preserve">Katerina</t>
  </si>
  <si>
    <t xml:space="preserve">Salgado</t>
  </si>
  <si>
    <t xml:space="preserve">7815 Maiden Ave.</t>
  </si>
  <si>
    <t xml:space="preserve">Glen Ellyn</t>
  </si>
  <si>
    <t xml:space="preserve">Nakita</t>
  </si>
  <si>
    <t xml:space="preserve">Matthams</t>
  </si>
  <si>
    <t xml:space="preserve">946 Gartner St.</t>
  </si>
  <si>
    <t xml:space="preserve">Ponte Vedra Beach</t>
  </si>
  <si>
    <t xml:space="preserve">F</t>
  </si>
  <si>
    <t xml:space="preserve">Evie-Mae</t>
  </si>
  <si>
    <t xml:space="preserve">Cullen</t>
  </si>
  <si>
    <t xml:space="preserve">999 Thompson St.</t>
  </si>
  <si>
    <t xml:space="preserve">Palm City</t>
  </si>
  <si>
    <t xml:space="preserve">Danielius</t>
  </si>
  <si>
    <t xml:space="preserve">Sellers</t>
  </si>
  <si>
    <t xml:space="preserve">312 Sycamore Court</t>
  </si>
  <si>
    <t xml:space="preserve">Westfield</t>
  </si>
  <si>
    <t xml:space="preserve">Asad</t>
  </si>
  <si>
    <t xml:space="preserve">Thomas</t>
  </si>
  <si>
    <t xml:space="preserve">593 Boston St.</t>
  </si>
  <si>
    <t xml:space="preserve">Downingtown</t>
  </si>
  <si>
    <t xml:space="preserve">Shamima</t>
  </si>
  <si>
    <t xml:space="preserve">Mcknight</t>
  </si>
  <si>
    <t xml:space="preserve">564 Gregory St.</t>
  </si>
  <si>
    <t xml:space="preserve">Wilkes Barre</t>
  </si>
  <si>
    <t xml:space="preserve">&lt; 1 year</t>
  </si>
  <si>
    <t xml:space="preserve">Garrett</t>
  </si>
  <si>
    <t xml:space="preserve">Terrell</t>
  </si>
  <si>
    <t xml:space="preserve">979 Valley View Ave.</t>
  </si>
  <si>
    <t xml:space="preserve">Burbank</t>
  </si>
  <si>
    <t xml:space="preserve">Brenna</t>
  </si>
  <si>
    <t xml:space="preserve">Field</t>
  </si>
  <si>
    <t xml:space="preserve">39 Saxon Lane</t>
  </si>
  <si>
    <t xml:space="preserve">Chester</t>
  </si>
  <si>
    <t xml:space="preserve">Matthew</t>
  </si>
  <si>
    <t xml:space="preserve">Hooper</t>
  </si>
  <si>
    <t xml:space="preserve">50 Glen Ridge Dr.</t>
  </si>
  <si>
    <t xml:space="preserve">Reading</t>
  </si>
  <si>
    <t xml:space="preserve">Lilly</t>
  </si>
  <si>
    <t xml:space="preserve">Mclaughlin</t>
  </si>
  <si>
    <t xml:space="preserve">17 Pheasant Ave.</t>
  </si>
  <si>
    <t xml:space="preserve">Enfield</t>
  </si>
  <si>
    <t xml:space="preserve">CT</t>
  </si>
  <si>
    <t xml:space="preserve">Zackary</t>
  </si>
  <si>
    <t xml:space="preserve">Mccall</t>
  </si>
  <si>
    <t xml:space="preserve">8840 South Columbia St.</t>
  </si>
  <si>
    <t xml:space="preserve">Dallas</t>
  </si>
  <si>
    <t xml:space="preserve">GA</t>
  </si>
  <si>
    <t xml:space="preserve">Huey</t>
  </si>
  <si>
    <t xml:space="preserve">Bate</t>
  </si>
  <si>
    <t xml:space="preserve">718 Border Lane</t>
  </si>
  <si>
    <t xml:space="preserve">Elizabethton</t>
  </si>
  <si>
    <t xml:space="preserve">Maria</t>
  </si>
  <si>
    <t xml:space="preserve">Read</t>
  </si>
  <si>
    <t xml:space="preserve">603 Blackburn Lane</t>
  </si>
  <si>
    <t xml:space="preserve">Chicago</t>
  </si>
  <si>
    <t xml:space="preserve">Jon-Paul</t>
  </si>
  <si>
    <t xml:space="preserve">Dupont</t>
  </si>
  <si>
    <t xml:space="preserve">669 Johnson Street</t>
  </si>
  <si>
    <t xml:space="preserve">Brunswick</t>
  </si>
  <si>
    <t xml:space="preserve">Arisha</t>
  </si>
  <si>
    <t xml:space="preserve">Walton</t>
  </si>
  <si>
    <t xml:space="preserve">8 Shore Street</t>
  </si>
  <si>
    <t xml:space="preserve">Portland</t>
  </si>
  <si>
    <t xml:space="preserve">ME</t>
  </si>
  <si>
    <t xml:space="preserve">Neha</t>
  </si>
  <si>
    <t xml:space="preserve">Beck</t>
  </si>
  <si>
    <t xml:space="preserve">86 Rockcrest Street</t>
  </si>
  <si>
    <t xml:space="preserve">Warminster</t>
  </si>
  <si>
    <t xml:space="preserve">Beverly</t>
  </si>
  <si>
    <t xml:space="preserve">Fry</t>
  </si>
  <si>
    <t xml:space="preserve">71 Homestead Ave.</t>
  </si>
  <si>
    <t xml:space="preserve">Framingham</t>
  </si>
  <si>
    <t xml:space="preserve">Aasiyah</t>
  </si>
  <si>
    <t xml:space="preserve">Weir</t>
  </si>
  <si>
    <t xml:space="preserve">887 Hillcrest Ave.</t>
  </si>
  <si>
    <t xml:space="preserve">Arissa</t>
  </si>
  <si>
    <t xml:space="preserve">Wagstaff</t>
  </si>
  <si>
    <t xml:space="preserve">9041 Cemetery Avenue</t>
  </si>
  <si>
    <t xml:space="preserve">Temple Hills</t>
  </si>
  <si>
    <t xml:space="preserve">Daanish</t>
  </si>
  <si>
    <t xml:space="preserve">Benitez</t>
  </si>
  <si>
    <t xml:space="preserve">27 Chestnut Street</t>
  </si>
  <si>
    <t xml:space="preserve">Wyandotte</t>
  </si>
  <si>
    <t xml:space="preserve">Reem</t>
  </si>
  <si>
    <t xml:space="preserve">Graves</t>
  </si>
  <si>
    <t xml:space="preserve">326 Edgefield Street</t>
  </si>
  <si>
    <t xml:space="preserve">Littleton</t>
  </si>
  <si>
    <t xml:space="preserve">CO</t>
  </si>
  <si>
    <t xml:space="preserve">Ruairi</t>
  </si>
  <si>
    <t xml:space="preserve">Brooks</t>
  </si>
  <si>
    <t xml:space="preserve">768 Buckingham St.</t>
  </si>
  <si>
    <t xml:space="preserve">Rolling Meadows</t>
  </si>
  <si>
    <t xml:space="preserve">Emaan</t>
  </si>
  <si>
    <t xml:space="preserve">Hardy</t>
  </si>
  <si>
    <t xml:space="preserve">8699 Evergreen St.</t>
  </si>
  <si>
    <t xml:space="preserve">Ann</t>
  </si>
  <si>
    <t xml:space="preserve">Dunlap</t>
  </si>
  <si>
    <t xml:space="preserve">8478 Snake Hill Ave.</t>
  </si>
  <si>
    <t xml:space="preserve">Valrico</t>
  </si>
  <si>
    <t xml:space="preserve">Theia</t>
  </si>
  <si>
    <t xml:space="preserve">Cole</t>
  </si>
  <si>
    <t xml:space="preserve">632 Ryan Drive</t>
  </si>
  <si>
    <t xml:space="preserve">Beckley</t>
  </si>
  <si>
    <t xml:space="preserve">WV</t>
  </si>
  <si>
    <t xml:space="preserve">Margie</t>
  </si>
  <si>
    <t xml:space="preserve">Small</t>
  </si>
  <si>
    <t xml:space="preserve">9401 Old Bay Meadows Street</t>
  </si>
  <si>
    <t xml:space="preserve">Dubuque</t>
  </si>
  <si>
    <t xml:space="preserve">IA</t>
  </si>
  <si>
    <t xml:space="preserve">Tierney</t>
  </si>
  <si>
    <t xml:space="preserve">Couch</t>
  </si>
  <si>
    <t xml:space="preserve">8 Virginia Drive</t>
  </si>
  <si>
    <t xml:space="preserve">Anoka</t>
  </si>
  <si>
    <t xml:space="preserve">Darci</t>
  </si>
  <si>
    <t xml:space="preserve">Vo</t>
  </si>
  <si>
    <t xml:space="preserve">530 Birchpond Ave.</t>
  </si>
  <si>
    <t xml:space="preserve">Bensalem</t>
  </si>
  <si>
    <t xml:space="preserve">Dante</t>
  </si>
  <si>
    <t xml:space="preserve">Healy</t>
  </si>
  <si>
    <t xml:space="preserve">67 Olive Street</t>
  </si>
  <si>
    <t xml:space="preserve">Windsor Mill</t>
  </si>
  <si>
    <t xml:space="preserve">Danika</t>
  </si>
  <si>
    <t xml:space="preserve">Norris</t>
  </si>
  <si>
    <t xml:space="preserve">7635 Strawberry Ave.</t>
  </si>
  <si>
    <t xml:space="preserve">Pearl</t>
  </si>
  <si>
    <t xml:space="preserve">MS</t>
  </si>
  <si>
    <t xml:space="preserve">Miyah</t>
  </si>
  <si>
    <t xml:space="preserve">Curry</t>
  </si>
  <si>
    <t xml:space="preserve">789 Walt Whitman Ave.</t>
  </si>
  <si>
    <t xml:space="preserve">Jenison</t>
  </si>
  <si>
    <t xml:space="preserve">Benedict</t>
  </si>
  <si>
    <t xml:space="preserve">Waters</t>
  </si>
  <si>
    <t xml:space="preserve">7641 North County St.</t>
  </si>
  <si>
    <t xml:space="preserve">Mays Landing</t>
  </si>
  <si>
    <t xml:space="preserve">Aalia</t>
  </si>
  <si>
    <t xml:space="preserve">Turner</t>
  </si>
  <si>
    <t xml:space="preserve">865 Rockaway St.</t>
  </si>
  <si>
    <t xml:space="preserve">Bridgewater</t>
  </si>
  <si>
    <t xml:space="preserve">Kirby</t>
  </si>
  <si>
    <t xml:space="preserve">Murillo</t>
  </si>
  <si>
    <t xml:space="preserve">547 Lancaster St.</t>
  </si>
  <si>
    <t xml:space="preserve">Alister</t>
  </si>
  <si>
    <t xml:space="preserve">Bautista</t>
  </si>
  <si>
    <t xml:space="preserve">771 Lyme Ave.</t>
  </si>
  <si>
    <t xml:space="preserve">Garry</t>
  </si>
  <si>
    <t xml:space="preserve">Rocha</t>
  </si>
  <si>
    <t xml:space="preserve">346 Prospect Ave.</t>
  </si>
  <si>
    <t xml:space="preserve">Carol Stream</t>
  </si>
  <si>
    <t xml:space="preserve">Ivie</t>
  </si>
  <si>
    <t xml:space="preserve">Morley</t>
  </si>
  <si>
    <t xml:space="preserve">9374 N. Amherst Rd.</t>
  </si>
  <si>
    <t xml:space="preserve">Fairhope</t>
  </si>
  <si>
    <t xml:space="preserve">AL</t>
  </si>
  <si>
    <t xml:space="preserve">Julia</t>
  </si>
  <si>
    <t xml:space="preserve">Brett</t>
  </si>
  <si>
    <t xml:space="preserve">7888 Oakland Court</t>
  </si>
  <si>
    <t xml:space="preserve">Chambersburg</t>
  </si>
  <si>
    <t xml:space="preserve">Isis</t>
  </si>
  <si>
    <t xml:space="preserve">Barr</t>
  </si>
  <si>
    <t xml:space="preserve">7538 Brown St.</t>
  </si>
  <si>
    <t xml:space="preserve">Springfield Gardens</t>
  </si>
  <si>
    <t xml:space="preserve">Mackenzie</t>
  </si>
  <si>
    <t xml:space="preserve">Sears</t>
  </si>
  <si>
    <t xml:space="preserve">14 Woodside St.</t>
  </si>
  <si>
    <t xml:space="preserve">West Des Moines</t>
  </si>
  <si>
    <t xml:space="preserve">Tayah</t>
  </si>
  <si>
    <t xml:space="preserve">Gamble</t>
  </si>
  <si>
    <t xml:space="preserve">7396 South Santa Clara St.</t>
  </si>
  <si>
    <t xml:space="preserve">Clinton Township</t>
  </si>
  <si>
    <t xml:space="preserve">Liu</t>
  </si>
  <si>
    <t xml:space="preserve">8663 Myers St.</t>
  </si>
  <si>
    <t xml:space="preserve">Mount Holly</t>
  </si>
  <si>
    <t xml:space="preserve">Kingston</t>
  </si>
  <si>
    <t xml:space="preserve">Beard</t>
  </si>
  <si>
    <t xml:space="preserve">83 East Bedford Drive</t>
  </si>
  <si>
    <t xml:space="preserve">Zionsville</t>
  </si>
  <si>
    <t xml:space="preserve">Ceara</t>
  </si>
  <si>
    <t xml:space="preserve">Stein</t>
  </si>
  <si>
    <t xml:space="preserve">58 Linda Rd.</t>
  </si>
  <si>
    <t xml:space="preserve">Leesburg</t>
  </si>
  <si>
    <t xml:space="preserve">Caius</t>
  </si>
  <si>
    <t xml:space="preserve">Bowden</t>
  </si>
  <si>
    <t xml:space="preserve">7006 Windsor Ave.</t>
  </si>
  <si>
    <t xml:space="preserve">Wheeling</t>
  </si>
  <si>
    <t xml:space="preserve">Pearce</t>
  </si>
  <si>
    <t xml:space="preserve">Duncan</t>
  </si>
  <si>
    <t xml:space="preserve">8 Trusel St.</t>
  </si>
  <si>
    <t xml:space="preserve">Vernon Rockville</t>
  </si>
  <si>
    <t xml:space="preserve">Shayan</t>
  </si>
  <si>
    <t xml:space="preserve">Lacey</t>
  </si>
  <si>
    <t xml:space="preserve">718 West Devonshire St.</t>
  </si>
  <si>
    <t xml:space="preserve">Millington</t>
  </si>
  <si>
    <t xml:space="preserve">Mathew</t>
  </si>
  <si>
    <t xml:space="preserve">Clark</t>
  </si>
  <si>
    <t xml:space="preserve">73 Henry Smith Street</t>
  </si>
  <si>
    <t xml:space="preserve">Oak Ridge</t>
  </si>
  <si>
    <t xml:space="preserve">Kieron</t>
  </si>
  <si>
    <t xml:space="preserve">West</t>
  </si>
  <si>
    <t xml:space="preserve">818 Lakewood Street</t>
  </si>
  <si>
    <t xml:space="preserve">Bartlett</t>
  </si>
  <si>
    <t xml:space="preserve">Marcie</t>
  </si>
  <si>
    <t xml:space="preserve">Cain</t>
  </si>
  <si>
    <t xml:space="preserve">7403 Big Rock Cove St.</t>
  </si>
  <si>
    <t xml:space="preserve">Camas</t>
  </si>
  <si>
    <t xml:space="preserve">WA</t>
  </si>
  <si>
    <t xml:space="preserve">Kelise</t>
  </si>
  <si>
    <t xml:space="preserve">Lamb</t>
  </si>
  <si>
    <t xml:space="preserve">161 Smoky Hollow Drive</t>
  </si>
  <si>
    <t xml:space="preserve">Hopkinsville</t>
  </si>
  <si>
    <t xml:space="preserve">KY</t>
  </si>
  <si>
    <t xml:space="preserve">Sol</t>
  </si>
  <si>
    <t xml:space="preserve">Hester</t>
  </si>
  <si>
    <t xml:space="preserve">7278 Summer St.</t>
  </si>
  <si>
    <t xml:space="preserve">Gastonia</t>
  </si>
  <si>
    <t xml:space="preserve">Ricky</t>
  </si>
  <si>
    <t xml:space="preserve">Huffman</t>
  </si>
  <si>
    <t xml:space="preserve">3 N. Schoolhouse Lane</t>
  </si>
  <si>
    <t xml:space="preserve">Plainfield</t>
  </si>
  <si>
    <t xml:space="preserve">Carolina</t>
  </si>
  <si>
    <t xml:space="preserve">Calvert</t>
  </si>
  <si>
    <t xml:space="preserve">7848 Stillwater Street</t>
  </si>
  <si>
    <t xml:space="preserve">Mankato</t>
  </si>
  <si>
    <t xml:space="preserve">Falak</t>
  </si>
  <si>
    <t xml:space="preserve">7 Pawnee Avenue</t>
  </si>
  <si>
    <t xml:space="preserve">Hightstown</t>
  </si>
  <si>
    <t xml:space="preserve">Derek</t>
  </si>
  <si>
    <t xml:space="preserve">Denton</t>
  </si>
  <si>
    <t xml:space="preserve">50 Van Dyke Drive</t>
  </si>
  <si>
    <t xml:space="preserve">Canonsburg</t>
  </si>
  <si>
    <t xml:space="preserve">Emerson</t>
  </si>
  <si>
    <t xml:space="preserve">Justice</t>
  </si>
  <si>
    <t xml:space="preserve">427 Aspen Street</t>
  </si>
  <si>
    <t xml:space="preserve">Enterprise</t>
  </si>
  <si>
    <t xml:space="preserve">Lili</t>
  </si>
  <si>
    <t xml:space="preserve">Grant</t>
  </si>
  <si>
    <t xml:space="preserve">9177 Shipley Drive</t>
  </si>
  <si>
    <t xml:space="preserve">Maineville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</si>
</sst>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0.0"/>
    <numFmt numFmtId="168" formatCode="0.00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10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10.609375" defaultRowHeight="16" zeroHeight="false" outlineLevelRow="0" outlineLevelCol="0"/>
  <cols>
    <col collapsed="false" customWidth="true" hidden="false" outlineLevel="0" max="1" min="1" style="0" width="4.16"/>
    <col collapsed="false" customWidth="true" hidden="false" outlineLevel="0" max="3" min="3" style="0" width="12.67"/>
    <col collapsed="false" customWidth="true" hidden="false" outlineLevel="0" max="4" min="4" style="0" width="23.51"/>
    <col collapsed="false" customWidth="true" hidden="false" outlineLevel="0" max="5" min="5" style="0" width="16"/>
    <col collapsed="false" customWidth="true" hidden="false" outlineLevel="0" max="6" min="6" style="0" width="9.67"/>
    <col collapsed="false" customWidth="true" hidden="false" outlineLevel="0" max="7" min="7" style="0" width="6.16"/>
    <col collapsed="false" customWidth="true" hidden="false" outlineLevel="0" max="8" min="8" style="0" width="14.16"/>
    <col collapsed="false" customWidth="true" hidden="false" outlineLevel="0" max="9" min="9" style="0" width="16.66"/>
    <col collapsed="false" customWidth="true" hidden="false" outlineLevel="0" max="10" min="10" style="0" width="16.33"/>
    <col collapsed="false" customWidth="true" hidden="false" outlineLevel="0" max="11" min="11" style="0" width="16.66"/>
    <col collapsed="false" customWidth="true" hidden="false" outlineLevel="0" max="12" min="12" style="0" width="14.67"/>
    <col collapsed="false" customWidth="true" hidden="false" outlineLevel="0" max="13" min="13" style="0" width="15.51"/>
    <col collapsed="false" customWidth="true" hidden="false" outlineLevel="0" max="14" min="14" style="0" width="14.67"/>
    <col collapsed="false" customWidth="true" hidden="false" outlineLevel="0" max="15" min="15" style="0" width="13.33"/>
    <col collapsed="false" customWidth="true" hidden="false" outlineLevel="0" max="16" min="16" style="0" width="14.16"/>
    <col collapsed="false" customWidth="true" hidden="false" outlineLevel="0" max="17" min="17" style="0" width="15.33"/>
    <col collapsed="false" customWidth="true" hidden="false" outlineLevel="0" max="18" min="18" style="0" width="13.83"/>
    <col collapsed="false" customWidth="true" hidden="false" outlineLevel="0" max="19" min="19" style="0" width="15.16"/>
    <col collapsed="false" customWidth="true" hidden="false" outlineLevel="0" max="20" min="20" style="0" width="14"/>
    <col collapsed="false" customWidth="true" hidden="false" outlineLevel="0" max="21" min="21" style="0" width="11.33"/>
    <col collapsed="false" customWidth="true" hidden="false" outlineLevel="0" max="22" min="22" style="0" width="12.67"/>
    <col collapsed="false" customWidth="true" hidden="false" outlineLevel="0" max="24" min="24" style="0" width="15.51"/>
    <col collapsed="false" customWidth="true" hidden="false" outlineLevel="0" max="25" min="25" style="0" width="19.33"/>
    <col collapsed="false" customWidth="true" hidden="false" outlineLevel="0" max="26" min="26" style="0" width="15.16"/>
    <col collapsed="false" customWidth="true" hidden="false" outlineLevel="0" max="27" min="27" style="0" width="21.17"/>
    <col collapsed="false" customWidth="true" hidden="false" outlineLevel="0" max="28" min="28" style="0" width="25"/>
    <col collapsed="false" customWidth="true" hidden="false" outlineLevel="0" max="29" min="29" style="0" width="19.83"/>
    <col collapsed="false" customWidth="true" hidden="false" outlineLevel="0" max="30" min="30" style="0" width="16.33"/>
  </cols>
  <sheetData>
    <row r="1" customFormat="false" ht="1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="3" customFormat="true" ht="15" hidden="false" customHeight="false" outlineLevel="0" collapsed="false">
      <c r="A2" s="1" t="n">
        <v>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n">
        <v>23320</v>
      </c>
      <c r="H2" s="1" t="s">
        <v>37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2" t="n">
        <v>0</v>
      </c>
      <c r="Y2" s="3" t="n">
        <v>0</v>
      </c>
      <c r="Z2" s="4" t="n">
        <v>0</v>
      </c>
      <c r="AA2" s="5" t="n">
        <v>0</v>
      </c>
      <c r="AB2" s="6" t="n">
        <v>0</v>
      </c>
      <c r="AC2" s="6" t="n">
        <v>0</v>
      </c>
      <c r="AD2" s="7" t="n">
        <v>0</v>
      </c>
      <c r="AE2" s="8" t="n">
        <v>0</v>
      </c>
      <c r="AF2" s="1"/>
    </row>
    <row r="3" s="3" customFormat="true" ht="15" hidden="false" customHeight="false" outlineLevel="0" collapsed="false">
      <c r="A3" s="1" t="n">
        <v>2</v>
      </c>
      <c r="B3" s="0" t="s">
        <v>38</v>
      </c>
      <c r="C3" s="0" t="s">
        <v>39</v>
      </c>
      <c r="D3" s="0" t="s">
        <v>40</v>
      </c>
      <c r="E3" s="0" t="s">
        <v>41</v>
      </c>
      <c r="F3" s="0" t="s">
        <v>42</v>
      </c>
      <c r="G3" s="0" t="n">
        <v>7424</v>
      </c>
      <c r="H3" s="1" t="s">
        <v>43</v>
      </c>
      <c r="I3" s="1" t="n">
        <v>0</v>
      </c>
      <c r="J3" s="1" t="n">
        <v>0</v>
      </c>
      <c r="K3" s="1" t="n">
        <v>0</v>
      </c>
      <c r="L3" s="1" t="n">
        <v>8</v>
      </c>
      <c r="M3" s="1" t="n">
        <v>14943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1</v>
      </c>
      <c r="S3" s="1" t="n">
        <v>14198</v>
      </c>
      <c r="T3" s="1" t="n">
        <v>0</v>
      </c>
      <c r="U3" s="1" t="n">
        <v>0</v>
      </c>
      <c r="V3" s="1" t="n">
        <v>0</v>
      </c>
      <c r="W3" s="1" t="n">
        <v>0</v>
      </c>
      <c r="X3" s="2" t="n">
        <v>868357</v>
      </c>
      <c r="Y3" s="1" t="s">
        <v>44</v>
      </c>
      <c r="Z3" s="4" t="n">
        <v>3210.43</v>
      </c>
      <c r="AA3" s="5" t="n">
        <v>23.6</v>
      </c>
      <c r="AB3" s="6" t="n">
        <v>7</v>
      </c>
      <c r="AC3" s="6" t="n">
        <v>133210</v>
      </c>
      <c r="AD3" s="7" t="n">
        <f aca="false">X3/12</f>
        <v>72363.0833333333</v>
      </c>
      <c r="AE3" s="8" t="n">
        <f aca="false">Z3/AD3</f>
        <v>0.0443655777520075</v>
      </c>
      <c r="AF3" s="1"/>
    </row>
    <row r="4" s="3" customFormat="true" ht="15" hidden="false" customHeight="false" outlineLevel="0" collapsed="false">
      <c r="A4" s="1" t="n">
        <v>3</v>
      </c>
      <c r="B4" s="0" t="s">
        <v>45</v>
      </c>
      <c r="C4" s="0" t="s">
        <v>46</v>
      </c>
      <c r="D4" s="0" t="s">
        <v>47</v>
      </c>
      <c r="E4" s="0" t="s">
        <v>48</v>
      </c>
      <c r="F4" s="0" t="s">
        <v>49</v>
      </c>
      <c r="G4" s="0" t="n">
        <v>1844</v>
      </c>
      <c r="H4" s="1" t="s">
        <v>50</v>
      </c>
      <c r="I4" s="1" t="n">
        <v>0</v>
      </c>
      <c r="J4" s="1" t="n">
        <v>0</v>
      </c>
      <c r="K4" s="1" t="n">
        <v>0</v>
      </c>
      <c r="L4" s="1" t="n">
        <v>2</v>
      </c>
      <c r="M4" s="1" t="n">
        <v>9462</v>
      </c>
      <c r="N4" s="1" t="n">
        <v>0</v>
      </c>
      <c r="O4" s="1" t="n">
        <v>1</v>
      </c>
      <c r="P4" s="1" t="n">
        <v>15104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2</v>
      </c>
      <c r="V4" s="1" t="n">
        <v>13224</v>
      </c>
      <c r="W4" s="1" t="n">
        <v>0</v>
      </c>
      <c r="X4" s="2" t="n">
        <v>719872</v>
      </c>
      <c r="Y4" s="1" t="s">
        <v>51</v>
      </c>
      <c r="Z4" s="4" t="n">
        <v>8487.77</v>
      </c>
      <c r="AA4" s="5" t="n">
        <v>26.2</v>
      </c>
      <c r="AB4" s="6" t="n">
        <v>21</v>
      </c>
      <c r="AC4" s="6" t="n">
        <v>87362</v>
      </c>
      <c r="AD4" s="7" t="n">
        <f aca="false">X4/12</f>
        <v>59989.3333333333</v>
      </c>
      <c r="AE4" s="8" t="n">
        <f aca="false">Z4/AD4</f>
        <v>0.141487986753201</v>
      </c>
      <c r="AF4" s="1"/>
    </row>
    <row r="5" s="3" customFormat="true" ht="15" hidden="false" customHeight="false" outlineLevel="0" collapsed="false">
      <c r="A5" s="1" t="n">
        <v>4</v>
      </c>
      <c r="B5" s="0" t="s">
        <v>52</v>
      </c>
      <c r="C5" s="0" t="s">
        <v>53</v>
      </c>
      <c r="D5" s="0" t="s">
        <v>54</v>
      </c>
      <c r="E5" s="0" t="s">
        <v>55</v>
      </c>
      <c r="F5" s="0" t="s">
        <v>56</v>
      </c>
      <c r="G5" s="0" t="n">
        <v>33904</v>
      </c>
      <c r="H5" s="1" t="s">
        <v>57</v>
      </c>
      <c r="I5" s="1" t="n">
        <v>0</v>
      </c>
      <c r="J5" s="1" t="n">
        <v>0</v>
      </c>
      <c r="K5" s="1" t="n">
        <v>0</v>
      </c>
      <c r="L5" s="1" t="n">
        <v>2</v>
      </c>
      <c r="M5" s="1" t="n">
        <v>3096</v>
      </c>
      <c r="N5" s="1" t="n">
        <v>1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402</v>
      </c>
      <c r="W5" s="1" t="n">
        <v>1</v>
      </c>
      <c r="X5" s="2" t="n">
        <v>544378.5</v>
      </c>
      <c r="Y5" s="3" t="s">
        <v>58</v>
      </c>
      <c r="Z5" s="4" t="n">
        <v>3666.43</v>
      </c>
      <c r="AA5" s="5" t="n">
        <v>23.95</v>
      </c>
      <c r="AB5" s="6" t="n">
        <v>11</v>
      </c>
      <c r="AC5" s="6" t="n">
        <v>155826</v>
      </c>
      <c r="AD5" s="7" t="n">
        <f aca="false">X5/12</f>
        <v>45364.875</v>
      </c>
      <c r="AE5" s="8" t="n">
        <f aca="false">Z5/AD5</f>
        <v>0.0808208994293492</v>
      </c>
      <c r="AF5" s="1"/>
    </row>
    <row r="6" s="3" customFormat="true" ht="15" hidden="false" customHeight="false" outlineLevel="0" collapsed="false">
      <c r="A6" s="1" t="n">
        <v>5</v>
      </c>
      <c r="B6" s="0" t="s">
        <v>59</v>
      </c>
      <c r="C6" s="0" t="s">
        <v>60</v>
      </c>
      <c r="D6" s="0" t="s">
        <v>61</v>
      </c>
      <c r="E6" s="0" t="s">
        <v>62</v>
      </c>
      <c r="F6" s="0" t="s">
        <v>63</v>
      </c>
      <c r="G6" s="0" t="n">
        <v>45211</v>
      </c>
      <c r="H6" s="1" t="s">
        <v>64</v>
      </c>
      <c r="I6" s="1" t="n">
        <v>0</v>
      </c>
      <c r="J6" s="1" t="n">
        <v>0</v>
      </c>
      <c r="K6" s="1" t="n">
        <v>0</v>
      </c>
      <c r="L6" s="1" t="n">
        <v>3</v>
      </c>
      <c r="M6" s="1" t="n">
        <v>419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3</v>
      </c>
      <c r="S6" s="1" t="n">
        <v>0</v>
      </c>
      <c r="T6" s="1" t="n">
        <v>0</v>
      </c>
      <c r="U6" s="1" t="n">
        <v>1</v>
      </c>
      <c r="V6" s="1" t="n">
        <v>246707</v>
      </c>
      <c r="W6" s="1" t="n">
        <v>0</v>
      </c>
      <c r="X6" s="2" t="n">
        <v>548663</v>
      </c>
      <c r="Y6" s="1" t="s">
        <v>58</v>
      </c>
      <c r="Z6" s="4" t="n">
        <v>5462.22</v>
      </c>
      <c r="AA6" s="5" t="n">
        <v>11.05</v>
      </c>
      <c r="AB6" s="6" t="n">
        <v>37</v>
      </c>
      <c r="AC6" s="6" t="n">
        <v>166793</v>
      </c>
      <c r="AD6" s="7" t="n">
        <f aca="false">X6/12</f>
        <v>45721.9166666667</v>
      </c>
      <c r="AE6" s="8" t="n">
        <f aca="false">Z6/AD6</f>
        <v>0.11946612036897</v>
      </c>
      <c r="AF6" s="1"/>
    </row>
    <row r="7" s="3" customFormat="true" ht="15" hidden="false" customHeight="false" outlineLevel="0" collapsed="false">
      <c r="A7" s="1" t="n">
        <v>6</v>
      </c>
      <c r="B7" s="0" t="s">
        <v>65</v>
      </c>
      <c r="C7" s="0" t="s">
        <v>66</v>
      </c>
      <c r="D7" s="0" t="s">
        <v>67</v>
      </c>
      <c r="E7" s="0" t="s">
        <v>68</v>
      </c>
      <c r="F7" s="0" t="s">
        <v>69</v>
      </c>
      <c r="G7" s="0" t="n">
        <v>60172</v>
      </c>
      <c r="H7" s="1" t="s">
        <v>70</v>
      </c>
      <c r="I7" s="1" t="n">
        <v>0</v>
      </c>
      <c r="J7" s="1" t="n">
        <v>0</v>
      </c>
      <c r="K7" s="1" t="n">
        <v>0</v>
      </c>
      <c r="L7" s="1" t="n">
        <v>5</v>
      </c>
      <c r="M7" s="1" t="n">
        <v>4775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1</v>
      </c>
      <c r="S7" s="1" t="n">
        <v>0</v>
      </c>
      <c r="T7" s="1" t="n">
        <v>0</v>
      </c>
      <c r="U7" s="1" t="n">
        <v>6</v>
      </c>
      <c r="V7" s="1" t="n">
        <v>28919</v>
      </c>
      <c r="W7" s="1" t="n">
        <v>3</v>
      </c>
      <c r="X7" s="2" t="n">
        <v>848464</v>
      </c>
      <c r="Y7" s="1" t="s">
        <v>71</v>
      </c>
      <c r="Z7" s="4" t="n">
        <v>9136.53</v>
      </c>
      <c r="AA7" s="5" t="n">
        <v>19.85</v>
      </c>
      <c r="AB7" s="6" t="n">
        <v>40</v>
      </c>
      <c r="AC7" s="6" t="n">
        <v>153329</v>
      </c>
      <c r="AD7" s="7" t="n">
        <f aca="false">X7/12</f>
        <v>70705.3333333333</v>
      </c>
      <c r="AE7" s="8" t="n">
        <f aca="false">Z7/AD7</f>
        <v>0.129219813686851</v>
      </c>
      <c r="AF7" s="1"/>
    </row>
    <row r="8" s="3" customFormat="true" ht="15" hidden="false" customHeight="false" outlineLevel="0" collapsed="false">
      <c r="A8" s="1" t="n">
        <v>7</v>
      </c>
      <c r="B8" s="0" t="s">
        <v>72</v>
      </c>
      <c r="C8" s="0" t="s">
        <v>73</v>
      </c>
      <c r="D8" s="0" t="s">
        <v>74</v>
      </c>
      <c r="E8" s="0" t="s">
        <v>75</v>
      </c>
      <c r="F8" s="0" t="s">
        <v>63</v>
      </c>
      <c r="G8" s="0" t="n">
        <v>44139</v>
      </c>
      <c r="H8" s="1" t="s">
        <v>76</v>
      </c>
      <c r="I8" s="1" t="n">
        <v>0</v>
      </c>
      <c r="J8" s="1" t="n">
        <v>0</v>
      </c>
      <c r="K8" s="1" t="n">
        <v>0</v>
      </c>
      <c r="L8" s="1" t="n">
        <v>10</v>
      </c>
      <c r="M8" s="1" t="n">
        <v>15267</v>
      </c>
      <c r="N8" s="1" t="n">
        <v>0</v>
      </c>
      <c r="O8" s="1" t="n">
        <v>1</v>
      </c>
      <c r="P8" s="1" t="n">
        <v>29078</v>
      </c>
      <c r="Q8" s="1" t="n">
        <v>0</v>
      </c>
      <c r="R8" s="1" t="n">
        <v>1</v>
      </c>
      <c r="S8" s="1" t="n">
        <v>10916</v>
      </c>
      <c r="T8" s="1" t="n">
        <v>0</v>
      </c>
      <c r="U8" s="1" t="n">
        <v>1</v>
      </c>
      <c r="V8" s="1" t="n">
        <v>24087</v>
      </c>
      <c r="W8" s="1" t="n">
        <v>0</v>
      </c>
      <c r="X8" s="2" t="n">
        <v>719872</v>
      </c>
      <c r="Y8" s="1" t="s">
        <v>44</v>
      </c>
      <c r="Z8" s="4" t="n">
        <v>8487.77</v>
      </c>
      <c r="AA8" s="5" t="n">
        <v>26.2</v>
      </c>
      <c r="AB8" s="6" t="n">
        <v>20</v>
      </c>
      <c r="AC8" s="6" t="n">
        <v>87362</v>
      </c>
      <c r="AD8" s="7" t="n">
        <f aca="false">X8/12</f>
        <v>59989.3333333333</v>
      </c>
      <c r="AE8" s="8" t="n">
        <f aca="false">Z8/AD8</f>
        <v>0.141487986753201</v>
      </c>
      <c r="AF8" s="1"/>
    </row>
    <row r="9" s="3" customFormat="true" ht="15" hidden="false" customHeight="false" outlineLevel="0" collapsed="false">
      <c r="A9" s="1" t="n">
        <v>8</v>
      </c>
      <c r="B9" s="0" t="s">
        <v>77</v>
      </c>
      <c r="C9" s="0" t="s">
        <v>78</v>
      </c>
      <c r="D9" s="0" t="s">
        <v>79</v>
      </c>
      <c r="E9" s="0" t="s">
        <v>80</v>
      </c>
      <c r="F9" s="0" t="s">
        <v>81</v>
      </c>
      <c r="G9" s="0" t="n">
        <v>92831</v>
      </c>
      <c r="H9" s="1" t="s">
        <v>82</v>
      </c>
      <c r="I9" s="1" t="n">
        <v>0</v>
      </c>
      <c r="J9" s="1" t="n">
        <v>0</v>
      </c>
      <c r="K9" s="1" t="n">
        <v>0</v>
      </c>
      <c r="L9" s="1" t="n">
        <v>7</v>
      </c>
      <c r="M9" s="1" t="n">
        <v>917</v>
      </c>
      <c r="N9" s="1" t="n">
        <v>0</v>
      </c>
      <c r="O9" s="1" t="n">
        <v>4</v>
      </c>
      <c r="P9" s="1" t="n">
        <v>60467</v>
      </c>
      <c r="Q9" s="1" t="n">
        <v>1</v>
      </c>
      <c r="R9" s="1" t="n">
        <v>0</v>
      </c>
      <c r="S9" s="1" t="n">
        <v>0</v>
      </c>
      <c r="T9" s="1" t="n">
        <v>0</v>
      </c>
      <c r="U9" s="1" t="n">
        <v>3</v>
      </c>
      <c r="V9" s="1" t="n">
        <v>60460</v>
      </c>
      <c r="W9" s="1" t="n">
        <v>2</v>
      </c>
      <c r="X9" s="2" t="n">
        <v>433010</v>
      </c>
      <c r="Y9" s="1" t="s">
        <v>51</v>
      </c>
      <c r="Z9" s="4" t="n">
        <v>941.64</v>
      </c>
      <c r="AA9" s="5" t="n">
        <v>20.2</v>
      </c>
      <c r="AB9" s="6" t="n">
        <v>12</v>
      </c>
      <c r="AC9" s="6" t="n">
        <v>37015</v>
      </c>
      <c r="AD9" s="7" t="n">
        <f aca="false">X9/12</f>
        <v>36084.1666666667</v>
      </c>
      <c r="AE9" s="8" t="n">
        <f aca="false">Z9/AD9</f>
        <v>0.0260956559894691</v>
      </c>
      <c r="AF9" s="1"/>
    </row>
    <row r="10" s="3" customFormat="true" ht="15" hidden="false" customHeight="false" outlineLevel="0" collapsed="false">
      <c r="A10" s="1" t="n">
        <v>9</v>
      </c>
      <c r="B10" s="0" t="s">
        <v>83</v>
      </c>
      <c r="C10" s="0" t="s">
        <v>84</v>
      </c>
      <c r="D10" s="0" t="s">
        <v>85</v>
      </c>
      <c r="E10" s="0" t="s">
        <v>86</v>
      </c>
      <c r="F10" s="0" t="s">
        <v>87</v>
      </c>
      <c r="G10" s="0" t="n">
        <v>20854</v>
      </c>
      <c r="H10" s="1" t="s">
        <v>88</v>
      </c>
      <c r="I10" s="1" t="n">
        <v>0</v>
      </c>
      <c r="J10" s="1" t="n">
        <v>0</v>
      </c>
      <c r="K10" s="1" t="n">
        <v>0</v>
      </c>
      <c r="L10" s="1" t="n">
        <v>5</v>
      </c>
      <c r="M10" s="1" t="n">
        <v>19491</v>
      </c>
      <c r="N10" s="1" t="n">
        <v>0</v>
      </c>
      <c r="O10" s="1" t="n">
        <v>4</v>
      </c>
      <c r="P10" s="1" t="n">
        <v>55021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2" t="n">
        <v>433010</v>
      </c>
      <c r="Y10" s="1" t="s">
        <v>51</v>
      </c>
      <c r="Z10" s="4" t="n">
        <v>941.64</v>
      </c>
      <c r="AA10" s="5" t="n">
        <v>20.2</v>
      </c>
      <c r="AB10" s="6" t="n">
        <v>12</v>
      </c>
      <c r="AC10" s="6" t="n">
        <v>37015</v>
      </c>
      <c r="AD10" s="7" t="n">
        <f aca="false">X10/12</f>
        <v>36084.1666666667</v>
      </c>
      <c r="AE10" s="8" t="n">
        <f aca="false">Z10/AD10</f>
        <v>0.0260956559894691</v>
      </c>
      <c r="AF10" s="1"/>
    </row>
    <row r="11" s="3" customFormat="true" ht="15" hidden="false" customHeight="false" outlineLevel="0" collapsed="false">
      <c r="A11" s="1" t="n">
        <v>10</v>
      </c>
      <c r="B11" s="0" t="s">
        <v>89</v>
      </c>
      <c r="C11" s="0" t="s">
        <v>90</v>
      </c>
      <c r="D11" s="0" t="s">
        <v>91</v>
      </c>
      <c r="E11" s="0" t="s">
        <v>92</v>
      </c>
      <c r="F11" s="0" t="s">
        <v>36</v>
      </c>
      <c r="G11" s="0" t="n">
        <v>22801</v>
      </c>
      <c r="H11" s="1" t="s">
        <v>93</v>
      </c>
      <c r="I11" s="1" t="n">
        <v>0</v>
      </c>
      <c r="J11" s="1" t="n">
        <v>0</v>
      </c>
      <c r="K11" s="1" t="n">
        <v>0</v>
      </c>
      <c r="L11" s="1" t="n">
        <v>5</v>
      </c>
      <c r="M11" s="1" t="n">
        <v>15968</v>
      </c>
      <c r="N11" s="1" t="n">
        <v>0</v>
      </c>
      <c r="O11" s="1" t="n">
        <v>2</v>
      </c>
      <c r="P11" s="1" t="n">
        <v>138341</v>
      </c>
      <c r="Q11" s="1" t="n">
        <v>0</v>
      </c>
      <c r="R11" s="1" t="n">
        <v>1</v>
      </c>
      <c r="S11" s="1" t="n">
        <v>128640</v>
      </c>
      <c r="T11" s="1" t="n">
        <v>0</v>
      </c>
      <c r="U11" s="1" t="n">
        <v>0</v>
      </c>
      <c r="V11" s="1" t="n">
        <v>0</v>
      </c>
      <c r="W11" s="1" t="n">
        <v>0</v>
      </c>
      <c r="X11" s="2" t="n">
        <v>1838174</v>
      </c>
      <c r="Y11" s="1" t="s">
        <v>44</v>
      </c>
      <c r="Z11" s="4" t="n">
        <v>18962.19</v>
      </c>
      <c r="AA11" s="5" t="n">
        <v>14</v>
      </c>
      <c r="AB11" s="6" t="n">
        <v>16</v>
      </c>
      <c r="AC11" s="6" t="n">
        <v>36465</v>
      </c>
      <c r="AD11" s="7" t="n">
        <f aca="false">X11/12</f>
        <v>153181.166666667</v>
      </c>
      <c r="AE11" s="8" t="n">
        <f aca="false">Z11/AD11</f>
        <v>0.123789303950551</v>
      </c>
      <c r="AF11" s="1"/>
    </row>
    <row r="12" s="3" customFormat="true" ht="15" hidden="false" customHeight="false" outlineLevel="0" collapsed="false">
      <c r="A12" s="1" t="n">
        <v>11</v>
      </c>
      <c r="B12" s="0" t="s">
        <v>94</v>
      </c>
      <c r="C12" s="0" t="s">
        <v>95</v>
      </c>
      <c r="D12" s="0" t="s">
        <v>96</v>
      </c>
      <c r="E12" s="0" t="s">
        <v>97</v>
      </c>
      <c r="F12" s="0" t="s">
        <v>98</v>
      </c>
      <c r="G12" s="0" t="n">
        <v>11590</v>
      </c>
      <c r="H12" s="1" t="s">
        <v>50</v>
      </c>
      <c r="I12" s="1" t="n">
        <v>0</v>
      </c>
      <c r="J12" s="1" t="n">
        <v>0</v>
      </c>
      <c r="K12" s="1" t="n">
        <v>0</v>
      </c>
      <c r="L12" s="1" t="n">
        <v>1</v>
      </c>
      <c r="M12" s="1" t="n">
        <v>1643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2" t="n">
        <v>544378.5</v>
      </c>
      <c r="Y12" s="3" t="s">
        <v>58</v>
      </c>
      <c r="Z12" s="4" t="n">
        <v>3666.43</v>
      </c>
      <c r="AA12" s="5" t="n">
        <v>23.95</v>
      </c>
      <c r="AB12" s="6" t="n">
        <v>11</v>
      </c>
      <c r="AC12" s="6" t="n">
        <v>155826</v>
      </c>
      <c r="AD12" s="7" t="n">
        <f aca="false">X12/12</f>
        <v>45364.875</v>
      </c>
      <c r="AE12" s="8" t="n">
        <f aca="false">Z12/AD12</f>
        <v>0.0808208994293492</v>
      </c>
      <c r="AF12" s="1"/>
    </row>
    <row r="13" s="3" customFormat="true" ht="15" hidden="false" customHeight="false" outlineLevel="0" collapsed="false">
      <c r="A13" s="1" t="n">
        <v>12</v>
      </c>
      <c r="B13" s="0" t="s">
        <v>99</v>
      </c>
      <c r="C13" s="0" t="s">
        <v>100</v>
      </c>
      <c r="D13" s="0" t="s">
        <v>101</v>
      </c>
      <c r="E13" s="0" t="s">
        <v>102</v>
      </c>
      <c r="F13" s="0" t="s">
        <v>49</v>
      </c>
      <c r="G13" s="0" t="n">
        <v>2150</v>
      </c>
      <c r="H13" s="1" t="s">
        <v>70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3993</v>
      </c>
      <c r="N13" s="1" t="n">
        <v>0</v>
      </c>
      <c r="O13" s="1" t="n">
        <v>2</v>
      </c>
      <c r="P13" s="1" t="n">
        <v>46100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3</v>
      </c>
      <c r="V13" s="1" t="n">
        <v>94637</v>
      </c>
      <c r="W13" s="1" t="n">
        <v>0</v>
      </c>
      <c r="X13" s="2" t="n">
        <v>1183225</v>
      </c>
      <c r="Y13" s="1" t="s">
        <v>51</v>
      </c>
      <c r="Z13" s="4" t="n">
        <v>9702.54</v>
      </c>
      <c r="AA13" s="5" t="n">
        <v>21.95</v>
      </c>
      <c r="AB13" s="6" t="n">
        <v>44</v>
      </c>
      <c r="AC13" s="6" t="n">
        <v>163702</v>
      </c>
      <c r="AD13" s="7" t="n">
        <f aca="false">X13/12</f>
        <v>98602.0833333333</v>
      </c>
      <c r="AE13" s="8" t="n">
        <f aca="false">Z13/AD13</f>
        <v>0.0984009634684866</v>
      </c>
      <c r="AF13" s="1"/>
    </row>
    <row r="14" s="3" customFormat="true" ht="15" hidden="false" customHeight="false" outlineLevel="0" collapsed="false">
      <c r="A14" s="1" t="n">
        <v>13</v>
      </c>
      <c r="B14" s="0" t="s">
        <v>103</v>
      </c>
      <c r="C14" s="0" t="s">
        <v>104</v>
      </c>
      <c r="D14" s="0" t="s">
        <v>105</v>
      </c>
      <c r="E14" s="0" t="s">
        <v>106</v>
      </c>
      <c r="F14" s="0" t="s">
        <v>107</v>
      </c>
      <c r="G14" s="0" t="n">
        <v>29687</v>
      </c>
      <c r="H14" s="1" t="s">
        <v>108</v>
      </c>
      <c r="I14" s="1" t="n">
        <v>0</v>
      </c>
      <c r="J14" s="1" t="n">
        <v>0</v>
      </c>
      <c r="K14" s="1" t="n">
        <v>0</v>
      </c>
      <c r="L14" s="1" t="n">
        <v>3</v>
      </c>
      <c r="M14" s="1" t="n">
        <v>6795</v>
      </c>
      <c r="N14" s="1" t="n">
        <v>0</v>
      </c>
      <c r="O14" s="1" t="n">
        <v>1</v>
      </c>
      <c r="P14" s="1" t="n">
        <v>63608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44024</v>
      </c>
      <c r="W14" s="1" t="n">
        <v>0</v>
      </c>
      <c r="X14" s="2" t="n">
        <v>433010</v>
      </c>
      <c r="Y14" s="1" t="s">
        <v>51</v>
      </c>
      <c r="Z14" s="4" t="n">
        <v>941.64</v>
      </c>
      <c r="AA14" s="5" t="n">
        <v>20.2</v>
      </c>
      <c r="AB14" s="6" t="n">
        <v>12</v>
      </c>
      <c r="AC14" s="6" t="n">
        <v>37015</v>
      </c>
      <c r="AD14" s="7" t="n">
        <f aca="false">X14/12</f>
        <v>36084.1666666667</v>
      </c>
      <c r="AE14" s="8" t="n">
        <f aca="false">Z14/AD14</f>
        <v>0.0260956559894691</v>
      </c>
      <c r="AF14" s="1"/>
    </row>
    <row r="15" s="3" customFormat="true" ht="15" hidden="false" customHeight="false" outlineLevel="0" collapsed="false">
      <c r="A15" s="1" t="n">
        <v>14</v>
      </c>
      <c r="B15" s="0" t="s">
        <v>109</v>
      </c>
      <c r="C15" s="0" t="s">
        <v>110</v>
      </c>
      <c r="D15" s="0" t="s">
        <v>111</v>
      </c>
      <c r="E15" s="0" t="s">
        <v>112</v>
      </c>
      <c r="F15" s="0" t="s">
        <v>98</v>
      </c>
      <c r="G15" s="0" t="n">
        <v>11756</v>
      </c>
      <c r="H15" s="1" t="s">
        <v>113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318</v>
      </c>
      <c r="N15" s="1" t="n">
        <v>1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2" t="n">
        <v>544378.5</v>
      </c>
      <c r="Y15" s="3" t="s">
        <v>58</v>
      </c>
      <c r="Z15" s="4" t="n">
        <v>3666.43</v>
      </c>
      <c r="AA15" s="5" t="n">
        <v>23.95</v>
      </c>
      <c r="AB15" s="6" t="n">
        <v>11</v>
      </c>
      <c r="AC15" s="6" t="n">
        <v>155826</v>
      </c>
      <c r="AD15" s="7" t="n">
        <f aca="false">X15/12</f>
        <v>45364.875</v>
      </c>
      <c r="AE15" s="8" t="n">
        <f aca="false">Z15/AD15</f>
        <v>0.0808208994293492</v>
      </c>
      <c r="AF15" s="1"/>
    </row>
    <row r="16" s="3" customFormat="true" ht="15" hidden="false" customHeight="false" outlineLevel="0" collapsed="false">
      <c r="A16" s="1" t="n">
        <v>15</v>
      </c>
      <c r="B16" s="0" t="s">
        <v>114</v>
      </c>
      <c r="C16" s="0" t="s">
        <v>115</v>
      </c>
      <c r="D16" s="0" t="s">
        <v>116</v>
      </c>
      <c r="E16" s="0" t="s">
        <v>117</v>
      </c>
      <c r="F16" s="0" t="s">
        <v>118</v>
      </c>
      <c r="G16" s="0" t="n">
        <v>75126</v>
      </c>
      <c r="H16" s="1" t="s">
        <v>37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2" t="n">
        <v>0</v>
      </c>
      <c r="Y16" s="1" t="n">
        <v>0</v>
      </c>
      <c r="Z16" s="4" t="n">
        <v>0</v>
      </c>
      <c r="AA16" s="5" t="n">
        <v>0</v>
      </c>
      <c r="AB16" s="6" t="n">
        <v>0</v>
      </c>
      <c r="AC16" s="6" t="n">
        <v>0</v>
      </c>
      <c r="AD16" s="7" t="n">
        <f aca="false">X16/12</f>
        <v>0</v>
      </c>
      <c r="AE16" s="8" t="n">
        <v>0</v>
      </c>
      <c r="AF16" s="1"/>
    </row>
    <row r="17" s="3" customFormat="true" ht="15" hidden="false" customHeight="false" outlineLevel="0" collapsed="false">
      <c r="A17" s="1" t="n">
        <v>16</v>
      </c>
      <c r="B17" s="0" t="s">
        <v>119</v>
      </c>
      <c r="C17" s="0" t="s">
        <v>120</v>
      </c>
      <c r="D17" s="0" t="s">
        <v>121</v>
      </c>
      <c r="E17" s="0" t="s">
        <v>122</v>
      </c>
      <c r="F17" s="0" t="s">
        <v>123</v>
      </c>
      <c r="G17" s="0" t="n">
        <v>16801</v>
      </c>
      <c r="H17" s="1" t="s">
        <v>124</v>
      </c>
      <c r="I17" s="1" t="n">
        <v>0</v>
      </c>
      <c r="J17" s="1" t="n">
        <v>0</v>
      </c>
      <c r="K17" s="1" t="n">
        <v>0</v>
      </c>
      <c r="L17" s="1" t="n">
        <v>3</v>
      </c>
      <c r="M17" s="1" t="n">
        <v>27622</v>
      </c>
      <c r="N17" s="1" t="n">
        <v>0</v>
      </c>
      <c r="O17" s="1" t="n">
        <v>1</v>
      </c>
      <c r="P17" s="1" t="n">
        <v>22462</v>
      </c>
      <c r="Q17" s="1" t="n">
        <v>0</v>
      </c>
      <c r="R17" s="1" t="n">
        <v>2</v>
      </c>
      <c r="S17" s="1" t="n">
        <v>533998</v>
      </c>
      <c r="T17" s="1" t="n">
        <v>0</v>
      </c>
      <c r="U17" s="1" t="n">
        <v>2</v>
      </c>
      <c r="V17" s="1" t="n">
        <v>161278</v>
      </c>
      <c r="W17" s="1" t="n">
        <v>0</v>
      </c>
      <c r="X17" s="2" t="n">
        <v>1717799.5</v>
      </c>
      <c r="Y17" s="1" t="s">
        <v>44</v>
      </c>
      <c r="Z17" s="4" t="n">
        <v>11294.55</v>
      </c>
      <c r="AA17" s="5" t="n">
        <v>9.85</v>
      </c>
      <c r="AB17" s="6" t="n">
        <v>23</v>
      </c>
      <c r="AC17" s="6" t="n">
        <v>489456</v>
      </c>
      <c r="AD17" s="7" t="n">
        <f aca="false">X17/12</f>
        <v>143149.958333333</v>
      </c>
      <c r="AE17" s="8" t="n">
        <f aca="false">Z17/AD17</f>
        <v>0.0789001277506484</v>
      </c>
      <c r="AF17" s="1"/>
    </row>
    <row r="18" s="3" customFormat="true" ht="15" hidden="false" customHeight="false" outlineLevel="0" collapsed="false">
      <c r="A18" s="1" t="n">
        <v>17</v>
      </c>
      <c r="B18" s="0" t="s">
        <v>125</v>
      </c>
      <c r="C18" s="0" t="s">
        <v>126</v>
      </c>
      <c r="D18" s="0" t="s">
        <v>127</v>
      </c>
      <c r="E18" s="0" t="s">
        <v>128</v>
      </c>
      <c r="F18" s="0" t="s">
        <v>129</v>
      </c>
      <c r="G18" s="0" t="n">
        <v>37086</v>
      </c>
      <c r="H18" s="1" t="s">
        <v>130</v>
      </c>
      <c r="I18" s="1" t="n">
        <v>0</v>
      </c>
      <c r="J18" s="1" t="n">
        <v>0</v>
      </c>
      <c r="K18" s="1" t="n">
        <v>0</v>
      </c>
      <c r="L18" s="1" t="n">
        <v>5</v>
      </c>
      <c r="M18" s="1" t="n">
        <v>13478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2</v>
      </c>
      <c r="V18" s="1" t="n">
        <v>48028</v>
      </c>
      <c r="W18" s="1" t="n">
        <v>0</v>
      </c>
      <c r="X18" s="2" t="n">
        <v>848464</v>
      </c>
      <c r="Y18" s="1" t="s">
        <v>71</v>
      </c>
      <c r="Z18" s="4" t="n">
        <v>9136.53</v>
      </c>
      <c r="AA18" s="5" t="n">
        <v>19.85</v>
      </c>
      <c r="AB18" s="6" t="n">
        <v>40</v>
      </c>
      <c r="AC18" s="6" t="n">
        <v>153329</v>
      </c>
      <c r="AD18" s="7" t="n">
        <f aca="false">X18/12</f>
        <v>70705.3333333333</v>
      </c>
      <c r="AE18" s="8" t="n">
        <f aca="false">Z18/AD18</f>
        <v>0.129219813686851</v>
      </c>
      <c r="AF18" s="1"/>
    </row>
    <row r="19" s="3" customFormat="true" ht="15" hidden="false" customHeight="false" outlineLevel="0" collapsed="false">
      <c r="A19" s="1" t="n">
        <v>18</v>
      </c>
      <c r="B19" s="0" t="s">
        <v>131</v>
      </c>
      <c r="C19" s="0" t="s">
        <v>132</v>
      </c>
      <c r="D19" s="0" t="s">
        <v>133</v>
      </c>
      <c r="E19" s="0" t="s">
        <v>134</v>
      </c>
      <c r="F19" s="0" t="s">
        <v>63</v>
      </c>
      <c r="G19" s="0" t="n">
        <v>44052</v>
      </c>
      <c r="H19" s="1" t="s">
        <v>88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2" t="n">
        <v>544378.5</v>
      </c>
      <c r="Y19" s="1" t="s">
        <v>58</v>
      </c>
      <c r="Z19" s="4" t="n">
        <v>3666.43</v>
      </c>
      <c r="AA19" s="5" t="n">
        <v>23.95</v>
      </c>
      <c r="AB19" s="6" t="n">
        <v>11</v>
      </c>
      <c r="AC19" s="6" t="n">
        <v>155826</v>
      </c>
      <c r="AD19" s="7" t="n">
        <f aca="false">X19/12</f>
        <v>45364.875</v>
      </c>
      <c r="AE19" s="8" t="n">
        <f aca="false">Z19/AD19</f>
        <v>0.0808208994293492</v>
      </c>
      <c r="AF19" s="1"/>
    </row>
    <row r="20" s="3" customFormat="true" ht="15" hidden="false" customHeight="false" outlineLevel="0" collapsed="false">
      <c r="A20" s="1" t="n">
        <v>19</v>
      </c>
      <c r="B20" s="0" t="s">
        <v>135</v>
      </c>
      <c r="C20" s="0" t="s">
        <v>136</v>
      </c>
      <c r="D20" s="0" t="s">
        <v>137</v>
      </c>
      <c r="E20" s="0" t="s">
        <v>138</v>
      </c>
      <c r="F20" s="0" t="s">
        <v>139</v>
      </c>
      <c r="G20" s="0" t="n">
        <v>76006</v>
      </c>
      <c r="H20" s="1" t="s">
        <v>70</v>
      </c>
      <c r="I20" s="1" t="n">
        <v>0</v>
      </c>
      <c r="J20" s="1" t="n">
        <v>0</v>
      </c>
      <c r="K20" s="1" t="n">
        <v>0</v>
      </c>
      <c r="L20" s="1" t="n">
        <v>8</v>
      </c>
      <c r="M20" s="1" t="n">
        <v>27542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2" t="n">
        <v>544378.5</v>
      </c>
      <c r="Y20" s="1" t="s">
        <v>58</v>
      </c>
      <c r="Z20" s="4" t="n">
        <v>3666.43</v>
      </c>
      <c r="AA20" s="5" t="n">
        <v>23.95</v>
      </c>
      <c r="AB20" s="6" t="n">
        <v>11</v>
      </c>
      <c r="AC20" s="6" t="n">
        <v>155826</v>
      </c>
      <c r="AD20" s="7" t="n">
        <f aca="false">X20/12</f>
        <v>45364.875</v>
      </c>
      <c r="AE20" s="8" t="n">
        <f aca="false">Z20/AD20</f>
        <v>0.0808208994293492</v>
      </c>
      <c r="AF20" s="1"/>
    </row>
    <row r="21" s="3" customFormat="true" ht="15" hidden="false" customHeight="false" outlineLevel="0" collapsed="false">
      <c r="A21" s="1" t="n">
        <v>20</v>
      </c>
      <c r="B21" s="0" t="s">
        <v>140</v>
      </c>
      <c r="C21" s="0" t="s">
        <v>141</v>
      </c>
      <c r="D21" s="0" t="s">
        <v>142</v>
      </c>
      <c r="E21" s="0" t="s">
        <v>143</v>
      </c>
      <c r="F21" s="0" t="s">
        <v>56</v>
      </c>
      <c r="G21" s="0" t="n">
        <v>63033</v>
      </c>
      <c r="H21" s="1" t="s">
        <v>144</v>
      </c>
      <c r="I21" s="1" t="n">
        <v>1</v>
      </c>
      <c r="J21" s="1" t="n">
        <v>9277</v>
      </c>
      <c r="K21" s="1" t="n">
        <v>0</v>
      </c>
      <c r="L21" s="1" t="n">
        <v>7</v>
      </c>
      <c r="M21" s="1" t="n">
        <v>60651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1</v>
      </c>
      <c r="S21" s="1" t="n">
        <v>130508</v>
      </c>
      <c r="T21" s="1" t="n">
        <v>0</v>
      </c>
      <c r="U21" s="1" t="n">
        <v>1</v>
      </c>
      <c r="V21" s="1" t="n">
        <v>39581</v>
      </c>
      <c r="W21" s="1" t="n">
        <v>0</v>
      </c>
      <c r="X21" s="2" t="n">
        <v>1553212</v>
      </c>
      <c r="Y21" s="1" t="s">
        <v>44</v>
      </c>
      <c r="Z21" s="4" t="n">
        <v>9494.68</v>
      </c>
      <c r="AA21" s="5" t="n">
        <v>17.9</v>
      </c>
      <c r="AB21" s="6" t="n">
        <v>47</v>
      </c>
      <c r="AC21" s="6" t="n">
        <v>171787</v>
      </c>
      <c r="AD21" s="7" t="n">
        <f aca="false">X21/12</f>
        <v>129434.333333333</v>
      </c>
      <c r="AE21" s="8" t="n">
        <f aca="false">Z21/AD21</f>
        <v>0.0733551891177766</v>
      </c>
      <c r="AF21" s="1"/>
    </row>
    <row r="22" s="3" customFormat="true" ht="16" hidden="false" customHeight="false" outlineLevel="0" collapsed="false">
      <c r="A22" s="1" t="n">
        <v>21</v>
      </c>
      <c r="B22" s="1" t="s">
        <v>145</v>
      </c>
      <c r="C22" s="1" t="s">
        <v>146</v>
      </c>
      <c r="D22" s="1" t="s">
        <v>147</v>
      </c>
      <c r="E22" s="1" t="s">
        <v>148</v>
      </c>
      <c r="F22" s="1" t="s">
        <v>36</v>
      </c>
      <c r="G22" s="1" t="n">
        <v>24060</v>
      </c>
      <c r="H22" s="1" t="s">
        <v>149</v>
      </c>
      <c r="I22" s="1" t="n">
        <v>1</v>
      </c>
      <c r="J22" s="1" t="n">
        <v>215094</v>
      </c>
      <c r="K22" s="1" t="n">
        <v>0</v>
      </c>
      <c r="L22" s="1" t="n">
        <v>16</v>
      </c>
      <c r="M22" s="1" t="n">
        <v>8246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3548079</v>
      </c>
      <c r="Y22" s="1" t="s">
        <v>150</v>
      </c>
      <c r="Z22" s="1" t="n">
        <v>36072.07</v>
      </c>
      <c r="AA22" s="1" t="n">
        <v>29.4</v>
      </c>
      <c r="AB22" s="1" t="n">
        <v>49</v>
      </c>
      <c r="AC22" s="1" t="n">
        <v>382008</v>
      </c>
      <c r="AD22" s="7" t="n">
        <f aca="false">X22/12</f>
        <v>295673.25</v>
      </c>
      <c r="AE22" s="8" t="n">
        <f aca="false">Z22/AD22</f>
        <v>0.121999775089563</v>
      </c>
      <c r="AF22" s="1" t="s">
        <v>151</v>
      </c>
    </row>
    <row r="23" s="3" customFormat="true" ht="16" hidden="false" customHeight="false" outlineLevel="0" collapsed="false">
      <c r="A23" s="1" t="n">
        <v>22</v>
      </c>
      <c r="B23" s="1" t="s">
        <v>152</v>
      </c>
      <c r="C23" s="1" t="s">
        <v>153</v>
      </c>
      <c r="D23" s="1" t="s">
        <v>154</v>
      </c>
      <c r="E23" s="1" t="s">
        <v>155</v>
      </c>
      <c r="F23" s="1" t="s">
        <v>87</v>
      </c>
      <c r="G23" s="1" t="n">
        <v>21222</v>
      </c>
      <c r="H23" s="1" t="s">
        <v>149</v>
      </c>
      <c r="I23" s="1" t="n">
        <v>1</v>
      </c>
      <c r="J23" s="1" t="n">
        <v>156068</v>
      </c>
      <c r="K23" s="1" t="n">
        <v>0</v>
      </c>
      <c r="L23" s="1" t="n">
        <v>10</v>
      </c>
      <c r="M23" s="1" t="n">
        <v>28823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767543</v>
      </c>
      <c r="Y23" s="1" t="s">
        <v>156</v>
      </c>
      <c r="Z23" s="1" t="n">
        <v>11852.2</v>
      </c>
      <c r="AA23" s="1" t="n">
        <v>23.3</v>
      </c>
      <c r="AB23" s="1" t="n">
        <v>3</v>
      </c>
      <c r="AC23" s="1" t="n">
        <v>370898</v>
      </c>
      <c r="AD23" s="7" t="n">
        <f aca="false">X23/12</f>
        <v>63961.9166666667</v>
      </c>
      <c r="AE23" s="8" t="n">
        <f aca="false">Z23/AD23</f>
        <v>0.185300888679852</v>
      </c>
      <c r="AF23" s="1" t="s">
        <v>151</v>
      </c>
    </row>
    <row r="24" s="3" customFormat="true" ht="16" hidden="false" customHeight="false" outlineLevel="0" collapsed="false">
      <c r="A24" s="1" t="n">
        <v>23</v>
      </c>
      <c r="B24" s="1" t="s">
        <v>157</v>
      </c>
      <c r="C24" s="1" t="s">
        <v>158</v>
      </c>
      <c r="D24" s="1" t="s">
        <v>159</v>
      </c>
      <c r="E24" s="1" t="s">
        <v>160</v>
      </c>
      <c r="F24" s="1" t="s">
        <v>49</v>
      </c>
      <c r="G24" s="1" t="n">
        <v>2368</v>
      </c>
      <c r="H24" s="1" t="s">
        <v>43</v>
      </c>
      <c r="I24" s="1" t="n">
        <v>0</v>
      </c>
      <c r="J24" s="1" t="n">
        <v>0</v>
      </c>
      <c r="K24" s="1" t="n">
        <v>0</v>
      </c>
      <c r="L24" s="1" t="n">
        <v>13</v>
      </c>
      <c r="M24" s="1" t="n">
        <v>113164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150766</v>
      </c>
      <c r="W24" s="1" t="n">
        <v>0</v>
      </c>
      <c r="X24" s="1" t="n">
        <v>3627195</v>
      </c>
      <c r="Y24" s="1" t="s">
        <v>156</v>
      </c>
      <c r="Z24" s="1" t="n">
        <v>33551.53</v>
      </c>
      <c r="AA24" s="1" t="n">
        <v>28.7</v>
      </c>
      <c r="AB24" s="1" t="n">
        <v>12</v>
      </c>
      <c r="AC24" s="1" t="n">
        <v>144298</v>
      </c>
      <c r="AD24" s="7" t="n">
        <f aca="false">X24/12</f>
        <v>302266.25</v>
      </c>
      <c r="AE24" s="8" t="n">
        <f aca="false">Z24/AD24</f>
        <v>0.110999921426888</v>
      </c>
      <c r="AF24" s="1" t="s">
        <v>151</v>
      </c>
    </row>
    <row r="25" s="3" customFormat="true" ht="16" hidden="false" customHeight="false" outlineLevel="0" collapsed="false">
      <c r="A25" s="1" t="n">
        <v>24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129</v>
      </c>
      <c r="G25" s="1" t="n">
        <v>37076</v>
      </c>
      <c r="H25" s="1" t="s">
        <v>43</v>
      </c>
      <c r="I25" s="1" t="n">
        <v>1</v>
      </c>
      <c r="J25" s="1" t="n">
        <v>33330</v>
      </c>
      <c r="K25" s="1" t="n">
        <v>0</v>
      </c>
      <c r="L25" s="1" t="n">
        <v>9</v>
      </c>
      <c r="M25" s="1" t="n">
        <v>198892</v>
      </c>
      <c r="N25" s="1" t="n">
        <v>1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686679</v>
      </c>
      <c r="Y25" s="1" t="s">
        <v>165</v>
      </c>
      <c r="Z25" s="1" t="n">
        <v>7668.02</v>
      </c>
      <c r="AA25" s="1" t="n">
        <v>20.6</v>
      </c>
      <c r="AB25" s="1" t="n">
        <v>59</v>
      </c>
      <c r="AC25" s="1" t="n">
        <v>324346</v>
      </c>
      <c r="AD25" s="7" t="n">
        <f aca="false">X25/12</f>
        <v>57223.25</v>
      </c>
      <c r="AE25" s="8" t="n">
        <f aca="false">Z25/AD25</f>
        <v>0.134001826180792</v>
      </c>
      <c r="AF25" s="1" t="s">
        <v>151</v>
      </c>
    </row>
    <row r="26" s="3" customFormat="true" ht="16" hidden="false" customHeight="false" outlineLevel="0" collapsed="false">
      <c r="A26" s="1" t="n">
        <v>25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118</v>
      </c>
      <c r="G26" s="1" t="n">
        <v>75115</v>
      </c>
      <c r="H26" s="1" t="s">
        <v>76</v>
      </c>
      <c r="I26" s="1" t="n">
        <v>0</v>
      </c>
      <c r="J26" s="1" t="n">
        <v>0</v>
      </c>
      <c r="K26" s="1" t="n">
        <v>0</v>
      </c>
      <c r="L26" s="1" t="n">
        <v>11</v>
      </c>
      <c r="M26" s="1" t="n">
        <v>612617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465366</v>
      </c>
      <c r="W26" s="1" t="n">
        <v>0</v>
      </c>
      <c r="X26" s="1" t="n">
        <v>1913870</v>
      </c>
      <c r="Y26" s="1" t="s">
        <v>165</v>
      </c>
      <c r="Z26" s="1" t="n">
        <v>28708.05</v>
      </c>
      <c r="AA26" s="1" t="n">
        <v>17.1</v>
      </c>
      <c r="AB26" s="1" t="n">
        <v>46</v>
      </c>
      <c r="AC26" s="1" t="n">
        <v>789030</v>
      </c>
      <c r="AD26" s="7" t="n">
        <f aca="false">X26/12</f>
        <v>159489.166666667</v>
      </c>
      <c r="AE26" s="8" t="n">
        <f aca="false">Z26/AD26</f>
        <v>0.18</v>
      </c>
      <c r="AF26" s="1" t="s">
        <v>170</v>
      </c>
    </row>
    <row r="27" s="3" customFormat="true" ht="16" hidden="false" customHeight="false" outlineLevel="0" collapsed="false">
      <c r="A27" s="1" t="n">
        <v>26</v>
      </c>
      <c r="B27" s="1" t="s">
        <v>171</v>
      </c>
      <c r="C27" s="1" t="s">
        <v>84</v>
      </c>
      <c r="D27" s="1" t="s">
        <v>172</v>
      </c>
      <c r="E27" s="1" t="s">
        <v>173</v>
      </c>
      <c r="F27" s="1" t="s">
        <v>87</v>
      </c>
      <c r="G27" s="1" t="n">
        <v>21784</v>
      </c>
      <c r="H27" s="1" t="s">
        <v>76</v>
      </c>
      <c r="I27" s="1" t="n">
        <v>0</v>
      </c>
      <c r="J27" s="1" t="n">
        <v>0</v>
      </c>
      <c r="K27" s="1" t="n">
        <v>0</v>
      </c>
      <c r="L27" s="1" t="n">
        <v>5</v>
      </c>
      <c r="M27" s="1" t="n">
        <v>26657</v>
      </c>
      <c r="N27" s="1" t="n">
        <v>1</v>
      </c>
      <c r="O27" s="1" t="n">
        <v>1</v>
      </c>
      <c r="P27" s="1" t="n">
        <v>287078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2097942</v>
      </c>
      <c r="Y27" s="1" t="s">
        <v>165</v>
      </c>
      <c r="Z27" s="1" t="n">
        <v>17290.57</v>
      </c>
      <c r="AA27" s="1" t="n">
        <v>19.3</v>
      </c>
      <c r="AB27" s="1" t="n">
        <v>76</v>
      </c>
      <c r="AC27" s="1" t="n">
        <v>130262</v>
      </c>
      <c r="AD27" s="7" t="n">
        <f aca="false">X27/12</f>
        <v>174828.5</v>
      </c>
      <c r="AE27" s="8" t="n">
        <f aca="false">Z27/AD27</f>
        <v>0.0989001793185894</v>
      </c>
      <c r="AF27" s="1" t="s">
        <v>151</v>
      </c>
    </row>
    <row r="28" s="3" customFormat="true" ht="16" hidden="false" customHeight="false" outlineLevel="0" collapsed="false">
      <c r="A28" s="1" t="n">
        <v>27</v>
      </c>
      <c r="B28" s="1" t="s">
        <v>174</v>
      </c>
      <c r="C28" s="1" t="s">
        <v>132</v>
      </c>
      <c r="D28" s="1" t="s">
        <v>175</v>
      </c>
      <c r="E28" s="1" t="s">
        <v>176</v>
      </c>
      <c r="F28" s="1" t="s">
        <v>177</v>
      </c>
      <c r="G28" s="1" t="n">
        <v>27360</v>
      </c>
      <c r="H28" s="1" t="s">
        <v>43</v>
      </c>
      <c r="I28" s="1" t="n">
        <v>0</v>
      </c>
      <c r="J28" s="1" t="n">
        <v>0</v>
      </c>
      <c r="K28" s="1" t="n">
        <v>0</v>
      </c>
      <c r="L28" s="1" t="n">
        <v>9</v>
      </c>
      <c r="M28" s="1" t="n">
        <v>153216</v>
      </c>
      <c r="N28" s="1" t="n">
        <v>1</v>
      </c>
      <c r="O28" s="1" t="n">
        <v>0</v>
      </c>
      <c r="P28" s="1" t="n">
        <v>0</v>
      </c>
      <c r="Q28" s="1" t="n">
        <v>0</v>
      </c>
      <c r="R28" s="1" t="n">
        <v>1</v>
      </c>
      <c r="S28" s="1" t="n">
        <v>268928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1838763</v>
      </c>
      <c r="Y28" s="1" t="s">
        <v>178</v>
      </c>
      <c r="Z28" s="1" t="n">
        <v>21299</v>
      </c>
      <c r="AA28" s="1" t="n">
        <v>19.9</v>
      </c>
      <c r="AB28" s="1" t="n">
        <v>66</v>
      </c>
      <c r="AC28" s="1" t="n">
        <v>335984</v>
      </c>
      <c r="AD28" s="7" t="n">
        <f aca="false">X28/12</f>
        <v>153230.25</v>
      </c>
      <c r="AE28" s="8" t="n">
        <f aca="false">Z28/AD28</f>
        <v>0.138999969000899</v>
      </c>
      <c r="AF28" s="1" t="s">
        <v>170</v>
      </c>
    </row>
    <row r="29" s="3" customFormat="true" ht="16" hidden="false" customHeight="false" outlineLevel="0" collapsed="false">
      <c r="A29" s="1" t="n">
        <v>28</v>
      </c>
      <c r="B29" s="1" t="s">
        <v>179</v>
      </c>
      <c r="C29" s="1" t="s">
        <v>180</v>
      </c>
      <c r="D29" s="1" t="s">
        <v>181</v>
      </c>
      <c r="E29" s="1" t="s">
        <v>182</v>
      </c>
      <c r="F29" s="1" t="s">
        <v>183</v>
      </c>
      <c r="G29" s="1" t="n">
        <v>55060</v>
      </c>
      <c r="H29" s="1" t="s">
        <v>149</v>
      </c>
      <c r="I29" s="1" t="n">
        <v>0</v>
      </c>
      <c r="J29" s="1" t="n">
        <v>0</v>
      </c>
      <c r="K29" s="1" t="n">
        <v>0</v>
      </c>
      <c r="L29" s="1" t="n">
        <v>8</v>
      </c>
      <c r="M29" s="1" t="n">
        <v>275538</v>
      </c>
      <c r="N29" s="1" t="n">
        <v>0</v>
      </c>
      <c r="O29" s="1" t="n">
        <v>1</v>
      </c>
      <c r="P29" s="1" t="n">
        <v>121814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1243284</v>
      </c>
      <c r="Y29" s="1" t="s">
        <v>44</v>
      </c>
      <c r="Z29" s="1" t="n">
        <v>10360.7</v>
      </c>
      <c r="AA29" s="1" t="n">
        <v>18.7</v>
      </c>
      <c r="AB29" s="1" t="n">
        <v>10</v>
      </c>
      <c r="AC29" s="1" t="n">
        <v>409552</v>
      </c>
      <c r="AD29" s="7" t="n">
        <f aca="false">X29/12</f>
        <v>103607</v>
      </c>
      <c r="AE29" s="8" t="n">
        <f aca="false">Z29/AD29</f>
        <v>0.1</v>
      </c>
      <c r="AF29" s="1" t="s">
        <v>170</v>
      </c>
    </row>
    <row r="30" s="3" customFormat="true" ht="16" hidden="false" customHeight="false" outlineLevel="0" collapsed="false">
      <c r="A30" s="1" t="n">
        <v>29</v>
      </c>
      <c r="B30" s="1" t="s">
        <v>184</v>
      </c>
      <c r="C30" s="1" t="s">
        <v>185</v>
      </c>
      <c r="D30" s="1" t="s">
        <v>186</v>
      </c>
      <c r="E30" s="1" t="s">
        <v>187</v>
      </c>
      <c r="F30" s="1" t="s">
        <v>177</v>
      </c>
      <c r="G30" s="1" t="n">
        <v>27909</v>
      </c>
      <c r="H30" s="1" t="s">
        <v>43</v>
      </c>
      <c r="I30" s="1" t="n">
        <v>0</v>
      </c>
      <c r="J30" s="1" t="n">
        <v>0</v>
      </c>
      <c r="K30" s="1" t="n">
        <v>0</v>
      </c>
      <c r="L30" s="1" t="n">
        <v>11</v>
      </c>
      <c r="M30" s="1" t="n">
        <v>67830</v>
      </c>
      <c r="N30" s="1" t="n">
        <v>0</v>
      </c>
      <c r="O30" s="1" t="n">
        <v>1</v>
      </c>
      <c r="P30" s="1" t="n">
        <v>446468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3084688</v>
      </c>
      <c r="Y30" s="1" t="s">
        <v>51</v>
      </c>
      <c r="Z30" s="1" t="n">
        <v>3933</v>
      </c>
      <c r="AA30" s="1" t="n">
        <v>15.4</v>
      </c>
      <c r="AB30" s="1" t="n">
        <v>20</v>
      </c>
      <c r="AC30" s="1" t="n">
        <v>487784</v>
      </c>
      <c r="AD30" s="7" t="n">
        <f aca="false">X30/12</f>
        <v>257057.333333333</v>
      </c>
      <c r="AE30" s="8" t="n">
        <f aca="false">Z30/AD30</f>
        <v>0.0153000886961664</v>
      </c>
      <c r="AF30" s="1" t="s">
        <v>151</v>
      </c>
    </row>
    <row r="31" s="3" customFormat="true" ht="16" hidden="false" customHeight="false" outlineLevel="0" collapsed="false">
      <c r="A31" s="1" t="n">
        <v>30</v>
      </c>
      <c r="B31" s="1" t="s">
        <v>188</v>
      </c>
      <c r="C31" s="1" t="s">
        <v>189</v>
      </c>
      <c r="D31" s="1" t="s">
        <v>190</v>
      </c>
      <c r="E31" s="1" t="s">
        <v>191</v>
      </c>
      <c r="F31" s="1" t="s">
        <v>98</v>
      </c>
      <c r="G31" s="1" t="n">
        <v>11432</v>
      </c>
      <c r="H31" s="1" t="s">
        <v>144</v>
      </c>
      <c r="I31" s="1" t="n">
        <v>0</v>
      </c>
      <c r="J31" s="1" t="n">
        <v>0</v>
      </c>
      <c r="K31" s="1" t="n">
        <v>0</v>
      </c>
      <c r="L31" s="1" t="n">
        <v>11</v>
      </c>
      <c r="M31" s="1" t="n">
        <v>146661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376970</v>
      </c>
      <c r="W31" s="1" t="n">
        <v>0</v>
      </c>
      <c r="X31" s="1" t="n">
        <v>1230763</v>
      </c>
      <c r="Y31" s="1" t="s">
        <v>192</v>
      </c>
      <c r="Z31" s="1" t="n">
        <v>19281.96</v>
      </c>
      <c r="AA31" s="1" t="n">
        <v>32.1</v>
      </c>
      <c r="AB31" s="1" t="n">
        <v>22</v>
      </c>
      <c r="AC31" s="1" t="n">
        <v>998976</v>
      </c>
      <c r="AD31" s="7" t="n">
        <f aca="false">X31/12</f>
        <v>102563.583333333</v>
      </c>
      <c r="AE31" s="8" t="n">
        <f aca="false">Z31/AD31</f>
        <v>0.188000061750313</v>
      </c>
      <c r="AF31" s="1" t="s">
        <v>151</v>
      </c>
    </row>
    <row r="32" s="3" customFormat="true" ht="16" hidden="false" customHeight="false" outlineLevel="0" collapsed="false">
      <c r="A32" s="1" t="n">
        <v>31</v>
      </c>
      <c r="B32" s="1" t="s">
        <v>65</v>
      </c>
      <c r="C32" s="1" t="s">
        <v>193</v>
      </c>
      <c r="D32" s="1" t="s">
        <v>194</v>
      </c>
      <c r="E32" s="1" t="s">
        <v>195</v>
      </c>
      <c r="F32" s="1" t="s">
        <v>183</v>
      </c>
      <c r="G32" s="1" t="n">
        <v>55372</v>
      </c>
      <c r="H32" s="1" t="s">
        <v>130</v>
      </c>
      <c r="I32" s="1" t="n">
        <v>1</v>
      </c>
      <c r="J32" s="1" t="n">
        <v>67144</v>
      </c>
      <c r="K32" s="1" t="n">
        <v>0</v>
      </c>
      <c r="L32" s="1" t="n">
        <v>30</v>
      </c>
      <c r="M32" s="1" t="n">
        <v>574997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2802671</v>
      </c>
      <c r="Y32" s="1" t="s">
        <v>192</v>
      </c>
      <c r="Z32" s="1" t="n">
        <v>46711.12</v>
      </c>
      <c r="AA32" s="1" t="n">
        <v>36.1</v>
      </c>
      <c r="AB32" s="1" t="n">
        <v>21</v>
      </c>
      <c r="AC32" s="1" t="n">
        <v>1297802</v>
      </c>
      <c r="AD32" s="7" t="n">
        <f aca="false">X32/12</f>
        <v>233555.916666667</v>
      </c>
      <c r="AE32" s="8" t="n">
        <f aca="false">Z32/AD32</f>
        <v>0.199999728830105</v>
      </c>
      <c r="AF32" s="1" t="s">
        <v>151</v>
      </c>
    </row>
    <row r="33" s="3" customFormat="true" ht="16" hidden="false" customHeight="false" outlineLevel="0" collapsed="false">
      <c r="A33" s="1" t="n">
        <v>32</v>
      </c>
      <c r="B33" s="1" t="s">
        <v>196</v>
      </c>
      <c r="C33" s="1" t="s">
        <v>197</v>
      </c>
      <c r="D33" s="1" t="s">
        <v>198</v>
      </c>
      <c r="E33" s="1" t="s">
        <v>199</v>
      </c>
      <c r="F33" s="1" t="s">
        <v>81</v>
      </c>
      <c r="G33" s="1" t="n">
        <v>91768</v>
      </c>
      <c r="H33" s="1" t="s">
        <v>43</v>
      </c>
      <c r="I33" s="1" t="n">
        <v>0</v>
      </c>
      <c r="J33" s="1" t="n">
        <v>0</v>
      </c>
      <c r="K33" s="1" t="n">
        <v>0</v>
      </c>
      <c r="L33" s="1" t="n">
        <v>14</v>
      </c>
      <c r="M33" s="1" t="n">
        <v>319941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1</v>
      </c>
      <c r="S33" s="1" t="n">
        <v>178970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1240415</v>
      </c>
      <c r="Y33" s="1" t="s">
        <v>200</v>
      </c>
      <c r="Z33" s="1" t="n">
        <v>16611.32</v>
      </c>
      <c r="AA33" s="1" t="n">
        <v>23.4</v>
      </c>
      <c r="AB33" s="1" t="n">
        <v>11</v>
      </c>
      <c r="AC33" s="1" t="n">
        <v>671110</v>
      </c>
      <c r="AD33" s="7" t="n">
        <f aca="false">X33/12</f>
        <v>103367.916666667</v>
      </c>
      <c r="AE33" s="8" t="n">
        <f aca="false">Z33/AD33</f>
        <v>0.160700926705981</v>
      </c>
      <c r="AF33" s="1" t="s">
        <v>170</v>
      </c>
    </row>
    <row r="34" s="3" customFormat="true" ht="16" hidden="false" customHeight="false" outlineLevel="0" collapsed="false">
      <c r="A34" s="1" t="n">
        <v>33</v>
      </c>
      <c r="B34" s="1" t="s">
        <v>201</v>
      </c>
      <c r="C34" s="1" t="s">
        <v>202</v>
      </c>
      <c r="D34" s="1" t="s">
        <v>203</v>
      </c>
      <c r="E34" s="1" t="s">
        <v>204</v>
      </c>
      <c r="F34" s="1" t="s">
        <v>98</v>
      </c>
      <c r="G34" s="1" t="n">
        <v>14094</v>
      </c>
      <c r="H34" s="1" t="s">
        <v>43</v>
      </c>
      <c r="I34" s="1" t="n">
        <v>0</v>
      </c>
      <c r="J34" s="1" t="n">
        <v>0</v>
      </c>
      <c r="K34" s="1" t="n">
        <v>0</v>
      </c>
      <c r="L34" s="1" t="n">
        <v>9</v>
      </c>
      <c r="M34" s="1" t="n">
        <v>33098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60236</v>
      </c>
      <c r="W34" s="1" t="n">
        <v>0</v>
      </c>
      <c r="X34" s="1" t="n">
        <v>836190</v>
      </c>
      <c r="Y34" s="1" t="s">
        <v>178</v>
      </c>
      <c r="Z34" s="1" t="n">
        <v>15748.34</v>
      </c>
      <c r="AA34" s="1" t="n">
        <v>21</v>
      </c>
      <c r="AB34" s="1" t="n">
        <v>35</v>
      </c>
      <c r="AC34" s="1" t="n">
        <v>135410</v>
      </c>
      <c r="AD34" s="7" t="n">
        <f aca="false">X34/12</f>
        <v>69682.5</v>
      </c>
      <c r="AE34" s="8" t="n">
        <f aca="false">Z34/AD34</f>
        <v>0.226001363326517</v>
      </c>
      <c r="AF34" s="1" t="s">
        <v>151</v>
      </c>
    </row>
    <row r="35" s="3" customFormat="true" ht="16" hidden="false" customHeight="false" outlineLevel="0" collapsed="false">
      <c r="A35" s="1" t="n">
        <v>34</v>
      </c>
      <c r="B35" s="1" t="s">
        <v>205</v>
      </c>
      <c r="C35" s="1" t="s">
        <v>206</v>
      </c>
      <c r="D35" s="1" t="s">
        <v>207</v>
      </c>
      <c r="E35" s="1" t="s">
        <v>208</v>
      </c>
      <c r="F35" s="1" t="s">
        <v>209</v>
      </c>
      <c r="G35" s="1" t="n">
        <v>46375</v>
      </c>
      <c r="H35" s="1" t="s">
        <v>210</v>
      </c>
      <c r="I35" s="1" t="n">
        <v>0</v>
      </c>
      <c r="J35" s="1" t="n">
        <v>0</v>
      </c>
      <c r="K35" s="1" t="n">
        <v>0</v>
      </c>
      <c r="L35" s="1" t="n">
        <v>10</v>
      </c>
      <c r="M35" s="1" t="n">
        <v>55461</v>
      </c>
      <c r="N35" s="1" t="n">
        <v>0</v>
      </c>
      <c r="O35" s="1" t="n">
        <v>1</v>
      </c>
      <c r="P35" s="1" t="n">
        <v>274032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670871</v>
      </c>
      <c r="Y35" s="1" t="s">
        <v>165</v>
      </c>
      <c r="Z35" s="1" t="n">
        <v>10845.77</v>
      </c>
      <c r="AA35" s="1" t="n">
        <v>8.5</v>
      </c>
      <c r="AB35" s="1" t="n">
        <v>60</v>
      </c>
      <c r="AC35" s="1" t="n">
        <v>88440</v>
      </c>
      <c r="AD35" s="7" t="n">
        <f aca="false">X35/12</f>
        <v>55905.9166666667</v>
      </c>
      <c r="AE35" s="8" t="n">
        <f aca="false">Z35/AD35</f>
        <v>0.194000396499476</v>
      </c>
      <c r="AF35" s="1" t="s">
        <v>170</v>
      </c>
    </row>
    <row r="36" s="3" customFormat="true" ht="16" hidden="false" customHeight="false" outlineLevel="0" collapsed="false">
      <c r="A36" s="1" t="n">
        <v>35</v>
      </c>
      <c r="B36" s="1" t="s">
        <v>211</v>
      </c>
      <c r="C36" s="1" t="s">
        <v>212</v>
      </c>
      <c r="D36" s="1" t="s">
        <v>213</v>
      </c>
      <c r="E36" s="1" t="s">
        <v>214</v>
      </c>
      <c r="F36" s="1" t="s">
        <v>215</v>
      </c>
      <c r="G36" s="1" t="n">
        <v>53151</v>
      </c>
      <c r="H36" s="1" t="s">
        <v>43</v>
      </c>
      <c r="I36" s="1" t="n">
        <v>1</v>
      </c>
      <c r="J36" s="1" t="n">
        <v>162008</v>
      </c>
      <c r="K36" s="1" t="n">
        <v>0</v>
      </c>
      <c r="L36" s="1" t="n">
        <v>13</v>
      </c>
      <c r="M36" s="1" t="n">
        <v>314906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946713</v>
      </c>
      <c r="Y36" s="1" t="s">
        <v>165</v>
      </c>
      <c r="Z36" s="1" t="n">
        <v>16330.88</v>
      </c>
      <c r="AA36" s="1" t="n">
        <v>23.4</v>
      </c>
      <c r="AB36" s="1" t="n">
        <v>38</v>
      </c>
      <c r="AC36" s="1" t="n">
        <v>719180</v>
      </c>
      <c r="AD36" s="7" t="n">
        <f aca="false">X36/12</f>
        <v>78892.75</v>
      </c>
      <c r="AE36" s="8" t="n">
        <f aca="false">Z36/AD36</f>
        <v>0.207001023541453</v>
      </c>
      <c r="AF36" s="1" t="s">
        <v>151</v>
      </c>
    </row>
    <row r="37" s="3" customFormat="true" ht="16" hidden="false" customHeight="false" outlineLevel="0" collapsed="false">
      <c r="A37" s="1" t="n">
        <v>36</v>
      </c>
      <c r="B37" s="1" t="s">
        <v>216</v>
      </c>
      <c r="C37" s="1" t="s">
        <v>217</v>
      </c>
      <c r="D37" s="1" t="s">
        <v>218</v>
      </c>
      <c r="E37" s="1" t="s">
        <v>219</v>
      </c>
      <c r="F37" s="1" t="s">
        <v>139</v>
      </c>
      <c r="G37" s="1" t="n">
        <v>48236</v>
      </c>
      <c r="H37" s="1" t="s">
        <v>76</v>
      </c>
      <c r="I37" s="1" t="n">
        <v>0</v>
      </c>
      <c r="J37" s="1" t="n">
        <v>0</v>
      </c>
      <c r="K37" s="1" t="n">
        <v>0</v>
      </c>
      <c r="L37" s="1" t="n">
        <v>5</v>
      </c>
      <c r="M37" s="1" t="n">
        <v>9063</v>
      </c>
      <c r="N37" s="1" t="n">
        <v>0</v>
      </c>
      <c r="O37" s="1" t="n">
        <v>1</v>
      </c>
      <c r="P37" s="1" t="n">
        <v>75966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262466</v>
      </c>
      <c r="Y37" s="1" t="s">
        <v>51</v>
      </c>
      <c r="Z37" s="1" t="n">
        <v>656.07</v>
      </c>
      <c r="AA37" s="1" t="n">
        <v>9</v>
      </c>
      <c r="AB37" s="1" t="n">
        <v>17</v>
      </c>
      <c r="AC37" s="1" t="n">
        <v>34716</v>
      </c>
      <c r="AD37" s="7" t="n">
        <f aca="false">X37/12</f>
        <v>21872.1666666667</v>
      </c>
      <c r="AE37" s="8" t="n">
        <f aca="false">Z37/AD37</f>
        <v>0.0299956565802809</v>
      </c>
      <c r="AF37" s="1" t="s">
        <v>151</v>
      </c>
    </row>
    <row r="38" s="3" customFormat="true" ht="16" hidden="false" customHeight="false" outlineLevel="0" collapsed="false">
      <c r="A38" s="1" t="n">
        <v>37</v>
      </c>
      <c r="B38" s="1" t="s">
        <v>220</v>
      </c>
      <c r="C38" s="1" t="s">
        <v>221</v>
      </c>
      <c r="D38" s="1" t="s">
        <v>222</v>
      </c>
      <c r="E38" s="1" t="s">
        <v>223</v>
      </c>
      <c r="F38" s="1" t="s">
        <v>42</v>
      </c>
      <c r="G38" s="1" t="n">
        <v>8816</v>
      </c>
      <c r="H38" s="1" t="s">
        <v>149</v>
      </c>
      <c r="I38" s="1" t="n">
        <v>1</v>
      </c>
      <c r="J38" s="1" t="n">
        <v>109274</v>
      </c>
      <c r="K38" s="1" t="n">
        <v>0</v>
      </c>
      <c r="L38" s="1" t="n">
        <v>17</v>
      </c>
      <c r="M38" s="1" t="n">
        <v>23047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1132362</v>
      </c>
      <c r="Y38" s="1" t="s">
        <v>178</v>
      </c>
      <c r="Z38" s="1" t="n">
        <v>20986.45</v>
      </c>
      <c r="AA38" s="1" t="n">
        <v>19.7</v>
      </c>
      <c r="AB38" s="1" t="n">
        <v>30</v>
      </c>
      <c r="AC38" s="1" t="n">
        <v>179080</v>
      </c>
      <c r="AD38" s="7" t="n">
        <f aca="false">X38/12</f>
        <v>94363.5</v>
      </c>
      <c r="AE38" s="8" t="n">
        <f aca="false">Z38/AD38</f>
        <v>0.222400080539615</v>
      </c>
      <c r="AF38" s="1" t="s">
        <v>151</v>
      </c>
    </row>
    <row r="39" s="3" customFormat="true" ht="16" hidden="false" customHeight="false" outlineLevel="0" collapsed="false">
      <c r="A39" s="1" t="n">
        <v>38</v>
      </c>
      <c r="B39" s="1" t="s">
        <v>224</v>
      </c>
      <c r="C39" s="1" t="s">
        <v>225</v>
      </c>
      <c r="D39" s="1" t="s">
        <v>226</v>
      </c>
      <c r="E39" s="1" t="s">
        <v>227</v>
      </c>
      <c r="F39" s="1" t="s">
        <v>42</v>
      </c>
      <c r="G39" s="1" t="n">
        <v>8753</v>
      </c>
      <c r="H39" s="1" t="s">
        <v>43</v>
      </c>
      <c r="I39" s="1" t="n">
        <v>0</v>
      </c>
      <c r="J39" s="1" t="n">
        <v>0</v>
      </c>
      <c r="K39" s="1" t="n">
        <v>0</v>
      </c>
      <c r="L39" s="1" t="n">
        <v>10</v>
      </c>
      <c r="M39" s="1" t="n">
        <v>171038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75284</v>
      </c>
      <c r="W39" s="1" t="n">
        <v>0</v>
      </c>
      <c r="X39" s="1" t="n">
        <v>2173201</v>
      </c>
      <c r="Y39" s="1" t="s">
        <v>200</v>
      </c>
      <c r="Z39" s="1" t="n">
        <v>12821.96</v>
      </c>
      <c r="AA39" s="1" t="n">
        <v>24.7</v>
      </c>
      <c r="AB39" s="1" t="n">
        <v>33</v>
      </c>
      <c r="AC39" s="1" t="n">
        <v>318384</v>
      </c>
      <c r="AD39" s="7" t="n">
        <f aca="false">X39/12</f>
        <v>181100.083333333</v>
      </c>
      <c r="AE39" s="8" t="n">
        <f aca="false">Z39/AD39</f>
        <v>0.0708004091660182</v>
      </c>
      <c r="AF39" s="1" t="s">
        <v>151</v>
      </c>
    </row>
    <row r="40" s="3" customFormat="true" ht="16" hidden="false" customHeight="false" outlineLevel="0" collapsed="false">
      <c r="A40" s="1" t="n">
        <v>39</v>
      </c>
      <c r="B40" s="1" t="s">
        <v>228</v>
      </c>
      <c r="C40" s="1" t="s">
        <v>229</v>
      </c>
      <c r="D40" s="1" t="s">
        <v>230</v>
      </c>
      <c r="E40" s="1" t="s">
        <v>231</v>
      </c>
      <c r="F40" s="1" t="s">
        <v>177</v>
      </c>
      <c r="G40" s="1" t="n">
        <v>28079</v>
      </c>
      <c r="H40" s="1" t="s">
        <v>43</v>
      </c>
      <c r="I40" s="1" t="n">
        <v>0</v>
      </c>
      <c r="J40" s="1" t="n">
        <v>0</v>
      </c>
      <c r="K40" s="1" t="n">
        <v>0</v>
      </c>
      <c r="L40" s="1" t="n">
        <v>7</v>
      </c>
      <c r="M40" s="1" t="n">
        <v>47576</v>
      </c>
      <c r="N40" s="1" t="n">
        <v>0</v>
      </c>
      <c r="O40" s="1" t="n">
        <v>1</v>
      </c>
      <c r="P40" s="1" t="n">
        <v>66374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1146612</v>
      </c>
      <c r="Y40" s="1" t="s">
        <v>58</v>
      </c>
      <c r="Z40" s="1" t="n">
        <v>13472.71</v>
      </c>
      <c r="AA40" s="1" t="n">
        <v>18</v>
      </c>
      <c r="AB40" s="1" t="n">
        <v>12</v>
      </c>
      <c r="AC40" s="1" t="n">
        <v>110638</v>
      </c>
      <c r="AD40" s="7" t="n">
        <f aca="false">X40/12</f>
        <v>95551</v>
      </c>
      <c r="AE40" s="8" t="n">
        <f aca="false">Z40/AD40</f>
        <v>0.141000198846689</v>
      </c>
      <c r="AF40" s="1" t="s">
        <v>151</v>
      </c>
    </row>
    <row r="41" s="3" customFormat="true" ht="16" hidden="false" customHeight="false" outlineLevel="0" collapsed="false">
      <c r="A41" s="1" t="n">
        <v>40</v>
      </c>
      <c r="B41" s="1" t="s">
        <v>232</v>
      </c>
      <c r="C41" s="1" t="s">
        <v>233</v>
      </c>
      <c r="D41" s="1" t="s">
        <v>234</v>
      </c>
      <c r="E41" s="1" t="s">
        <v>235</v>
      </c>
      <c r="F41" s="1" t="s">
        <v>129</v>
      </c>
      <c r="G41" s="1" t="n">
        <v>37343</v>
      </c>
      <c r="H41" s="1" t="s">
        <v>43</v>
      </c>
      <c r="I41" s="1" t="n">
        <v>0</v>
      </c>
      <c r="J41" s="1" t="n">
        <v>0</v>
      </c>
      <c r="K41" s="1" t="n">
        <v>0</v>
      </c>
      <c r="L41" s="1" t="n">
        <v>7</v>
      </c>
      <c r="M41" s="1" t="n">
        <v>88768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1</v>
      </c>
      <c r="S41" s="1" t="n">
        <v>643786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2272571</v>
      </c>
      <c r="Y41" s="1" t="s">
        <v>51</v>
      </c>
      <c r="Z41" s="1" t="n">
        <v>19885.02</v>
      </c>
      <c r="AA41" s="1" t="n">
        <v>9.2</v>
      </c>
      <c r="AB41" s="1" t="n">
        <v>43</v>
      </c>
      <c r="AC41" s="1" t="n">
        <v>195778</v>
      </c>
      <c r="AD41" s="7" t="n">
        <f aca="false">X41/12</f>
        <v>189380.916666667</v>
      </c>
      <c r="AE41" s="8" t="n">
        <f aca="false">Z41/AD41</f>
        <v>0.105000125408623</v>
      </c>
      <c r="AF41" s="1" t="s">
        <v>170</v>
      </c>
    </row>
    <row r="42" s="3" customFormat="true" ht="16" hidden="false" customHeight="false" outlineLevel="0" collapsed="false">
      <c r="A42" s="1" t="n">
        <v>41</v>
      </c>
      <c r="B42" s="1" t="s">
        <v>236</v>
      </c>
      <c r="C42" s="1" t="s">
        <v>237</v>
      </c>
      <c r="D42" s="1" t="s">
        <v>238</v>
      </c>
      <c r="E42" s="1" t="s">
        <v>239</v>
      </c>
      <c r="F42" s="1" t="s">
        <v>123</v>
      </c>
      <c r="G42" s="1" t="n">
        <v>16601</v>
      </c>
      <c r="H42" s="1" t="s">
        <v>88</v>
      </c>
      <c r="I42" s="1" t="n">
        <v>0</v>
      </c>
      <c r="J42" s="1" t="n">
        <v>0</v>
      </c>
      <c r="K42" s="1" t="n">
        <v>0</v>
      </c>
      <c r="L42" s="1" t="n">
        <v>10</v>
      </c>
      <c r="M42" s="1" t="n">
        <v>61636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89012</v>
      </c>
      <c r="W42" s="1" t="n">
        <v>0</v>
      </c>
      <c r="X42" s="1" t="n">
        <v>1249079</v>
      </c>
      <c r="Y42" s="1" t="s">
        <v>51</v>
      </c>
      <c r="Z42" s="1" t="n">
        <v>11866.26</v>
      </c>
      <c r="AA42" s="1" t="n">
        <v>10.5</v>
      </c>
      <c r="AB42" s="1" t="n">
        <v>6</v>
      </c>
      <c r="AC42" s="1" t="n">
        <v>206844</v>
      </c>
      <c r="AD42" s="7" t="n">
        <f aca="false">X42/12</f>
        <v>104089.916666667</v>
      </c>
      <c r="AE42" s="8" t="n">
        <f aca="false">Z42/AD42</f>
        <v>0.114000091267246</v>
      </c>
      <c r="AF42" s="1" t="s">
        <v>151</v>
      </c>
    </row>
    <row r="43" s="3" customFormat="true" ht="16" hidden="false" customHeight="false" outlineLevel="0" collapsed="false">
      <c r="A43" s="1" t="n">
        <v>42</v>
      </c>
      <c r="B43" s="1" t="s">
        <v>240</v>
      </c>
      <c r="C43" s="1" t="s">
        <v>241</v>
      </c>
      <c r="D43" s="1" t="s">
        <v>242</v>
      </c>
      <c r="E43" s="1" t="s">
        <v>243</v>
      </c>
      <c r="F43" s="1" t="s">
        <v>56</v>
      </c>
      <c r="G43" s="1" t="n">
        <v>32259</v>
      </c>
      <c r="H43" s="1" t="s">
        <v>76</v>
      </c>
      <c r="I43" s="1" t="n">
        <v>0</v>
      </c>
      <c r="J43" s="1" t="n">
        <v>0</v>
      </c>
      <c r="K43" s="1" t="n">
        <v>0</v>
      </c>
      <c r="L43" s="1" t="n">
        <v>13</v>
      </c>
      <c r="M43" s="1" t="n">
        <v>193135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220022</v>
      </c>
      <c r="W43" s="1" t="n">
        <v>0</v>
      </c>
      <c r="X43" s="1" t="n">
        <v>1330133</v>
      </c>
      <c r="Y43" s="1" t="s">
        <v>156</v>
      </c>
      <c r="Z43" s="1" t="n">
        <v>20727.86</v>
      </c>
      <c r="AA43" s="1" t="n">
        <v>33.5</v>
      </c>
      <c r="AB43" s="1" t="n">
        <v>6</v>
      </c>
      <c r="AC43" s="1" t="n">
        <v>560494</v>
      </c>
      <c r="AD43" s="7" t="n">
        <f aca="false">X43/12</f>
        <v>110844.416666667</v>
      </c>
      <c r="AE43" s="8" t="n">
        <f aca="false">Z43/AD43</f>
        <v>0.18699958575571</v>
      </c>
      <c r="AF43" s="1" t="s">
        <v>170</v>
      </c>
    </row>
    <row r="44" s="3" customFormat="true" ht="16" hidden="false" customHeight="false" outlineLevel="0" collapsed="false">
      <c r="A44" s="1" t="n">
        <v>43</v>
      </c>
      <c r="B44" s="1" t="s">
        <v>244</v>
      </c>
      <c r="C44" s="1" t="s">
        <v>245</v>
      </c>
      <c r="D44" s="1" t="s">
        <v>246</v>
      </c>
      <c r="E44" s="1" t="s">
        <v>247</v>
      </c>
      <c r="F44" s="1" t="s">
        <v>69</v>
      </c>
      <c r="G44" s="1" t="n">
        <v>60137</v>
      </c>
      <c r="H44" s="1" t="s">
        <v>149</v>
      </c>
      <c r="I44" s="1" t="n">
        <v>0</v>
      </c>
      <c r="J44" s="1" t="n">
        <v>0</v>
      </c>
      <c r="K44" s="1" t="n">
        <v>0</v>
      </c>
      <c r="L44" s="1" t="n">
        <v>11</v>
      </c>
      <c r="M44" s="1" t="n">
        <v>535477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88132</v>
      </c>
      <c r="W44" s="1" t="n">
        <v>0</v>
      </c>
      <c r="X44" s="1" t="n">
        <v>1427147</v>
      </c>
      <c r="Y44" s="1" t="s">
        <v>200</v>
      </c>
      <c r="Z44" s="1" t="n">
        <v>25367.47</v>
      </c>
      <c r="AA44" s="1" t="n">
        <v>21.4</v>
      </c>
      <c r="AB44" s="1" t="n">
        <v>30</v>
      </c>
      <c r="AC44" s="1" t="n">
        <v>1201618</v>
      </c>
      <c r="AD44" s="7" t="n">
        <f aca="false">X44/12</f>
        <v>118928.916666667</v>
      </c>
      <c r="AE44" s="8" t="n">
        <f aca="false">Z44/AD44</f>
        <v>0.213299428860517</v>
      </c>
      <c r="AF44" s="1" t="s">
        <v>151</v>
      </c>
    </row>
    <row r="45" s="3" customFormat="true" ht="16" hidden="false" customHeight="false" outlineLevel="0" collapsed="false">
      <c r="A45" s="1" t="n">
        <v>44</v>
      </c>
      <c r="B45" s="1" t="s">
        <v>248</v>
      </c>
      <c r="C45" s="1" t="s">
        <v>249</v>
      </c>
      <c r="D45" s="1" t="s">
        <v>250</v>
      </c>
      <c r="E45" s="1" t="s">
        <v>251</v>
      </c>
      <c r="F45" s="1" t="s">
        <v>56</v>
      </c>
      <c r="G45" s="1" t="n">
        <v>32082</v>
      </c>
      <c r="H45" s="1" t="s">
        <v>252</v>
      </c>
      <c r="I45" s="1" t="n">
        <v>0</v>
      </c>
      <c r="J45" s="1" t="n">
        <v>0</v>
      </c>
      <c r="K45" s="1" t="n">
        <v>0</v>
      </c>
      <c r="L45" s="1" t="n">
        <v>9</v>
      </c>
      <c r="M45" s="1" t="n">
        <v>98306</v>
      </c>
      <c r="N45" s="1" t="n">
        <v>0</v>
      </c>
      <c r="O45" s="1" t="n">
        <v>1</v>
      </c>
      <c r="P45" s="1" t="n">
        <v>107734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837387</v>
      </c>
      <c r="Y45" s="1" t="s">
        <v>150</v>
      </c>
      <c r="Z45" s="1" t="n">
        <v>9958.09</v>
      </c>
      <c r="AA45" s="1" t="n">
        <v>17.5</v>
      </c>
      <c r="AB45" s="1" t="n">
        <v>75</v>
      </c>
      <c r="AC45" s="1" t="n">
        <v>237138</v>
      </c>
      <c r="AD45" s="7" t="n">
        <f aca="false">X45/12</f>
        <v>69782.25</v>
      </c>
      <c r="AE45" s="8" t="n">
        <f aca="false">Z45/AD45</f>
        <v>0.14270233476278</v>
      </c>
      <c r="AF45" s="1" t="s">
        <v>170</v>
      </c>
    </row>
    <row r="46" s="3" customFormat="true" ht="16" hidden="false" customHeight="false" outlineLevel="0" collapsed="false">
      <c r="A46" s="1" t="n">
        <v>45</v>
      </c>
      <c r="B46" s="1" t="s">
        <v>253</v>
      </c>
      <c r="C46" s="1" t="s">
        <v>254</v>
      </c>
      <c r="D46" s="1" t="s">
        <v>255</v>
      </c>
      <c r="E46" s="1" t="s">
        <v>256</v>
      </c>
      <c r="F46" s="1" t="s">
        <v>56</v>
      </c>
      <c r="G46" s="1" t="n">
        <v>34990</v>
      </c>
      <c r="H46" s="1" t="s">
        <v>149</v>
      </c>
      <c r="I46" s="1" t="n">
        <v>0</v>
      </c>
      <c r="J46" s="1" t="n">
        <v>0</v>
      </c>
      <c r="K46" s="1" t="n">
        <v>0</v>
      </c>
      <c r="L46" s="1" t="n">
        <v>5</v>
      </c>
      <c r="M46" s="1" t="n">
        <v>37677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107602</v>
      </c>
      <c r="W46" s="1" t="n">
        <v>0</v>
      </c>
      <c r="X46" s="1" t="n">
        <v>556681</v>
      </c>
      <c r="Y46" s="1" t="s">
        <v>58</v>
      </c>
      <c r="Z46" s="1" t="n">
        <v>8350.31</v>
      </c>
      <c r="AA46" s="1" t="n">
        <v>10.3</v>
      </c>
      <c r="AB46" s="1" t="n">
        <v>39</v>
      </c>
      <c r="AC46" s="1" t="n">
        <v>68904</v>
      </c>
      <c r="AD46" s="7" t="n">
        <f aca="false">X46/12</f>
        <v>46390.0833333333</v>
      </c>
      <c r="AE46" s="8" t="n">
        <f aca="false">Z46/AD46</f>
        <v>0.180002047851462</v>
      </c>
      <c r="AF46" s="1" t="s">
        <v>151</v>
      </c>
    </row>
    <row r="47" s="3" customFormat="true" ht="16" hidden="false" customHeight="false" outlineLevel="0" collapsed="false">
      <c r="A47" s="1" t="n">
        <v>46</v>
      </c>
      <c r="B47" s="1" t="s">
        <v>257</v>
      </c>
      <c r="C47" s="1" t="s">
        <v>258</v>
      </c>
      <c r="D47" s="1" t="s">
        <v>259</v>
      </c>
      <c r="E47" s="1" t="s">
        <v>260</v>
      </c>
      <c r="F47" s="1" t="s">
        <v>49</v>
      </c>
      <c r="G47" s="1" t="n">
        <v>1085</v>
      </c>
      <c r="H47" s="1" t="s">
        <v>149</v>
      </c>
      <c r="I47" s="1" t="n">
        <v>0</v>
      </c>
      <c r="J47" s="1" t="n">
        <v>0</v>
      </c>
      <c r="K47" s="1" t="n">
        <v>0</v>
      </c>
      <c r="L47" s="1" t="n">
        <v>6</v>
      </c>
      <c r="M47" s="1" t="n">
        <v>5092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1</v>
      </c>
      <c r="S47" s="1" t="n">
        <v>65604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1133160</v>
      </c>
      <c r="Y47" s="1" t="s">
        <v>58</v>
      </c>
      <c r="Z47" s="1" t="n">
        <v>5193.65</v>
      </c>
      <c r="AA47" s="1" t="n">
        <v>15.8</v>
      </c>
      <c r="AB47" s="1" t="n">
        <v>7</v>
      </c>
      <c r="AC47" s="1" t="n">
        <v>227106</v>
      </c>
      <c r="AD47" s="7" t="n">
        <f aca="false">X47/12</f>
        <v>94430</v>
      </c>
      <c r="AE47" s="8" t="n">
        <f aca="false">Z47/AD47</f>
        <v>0.055</v>
      </c>
      <c r="AF47" s="1" t="s">
        <v>170</v>
      </c>
    </row>
    <row r="48" s="3" customFormat="true" ht="16" hidden="false" customHeight="false" outlineLevel="0" collapsed="false">
      <c r="A48" s="1" t="n">
        <v>47</v>
      </c>
      <c r="B48" s="1" t="s">
        <v>261</v>
      </c>
      <c r="C48" s="1" t="s">
        <v>262</v>
      </c>
      <c r="D48" s="1" t="s">
        <v>263</v>
      </c>
      <c r="E48" s="1" t="s">
        <v>264</v>
      </c>
      <c r="F48" s="1" t="s">
        <v>123</v>
      </c>
      <c r="G48" s="1" t="n">
        <v>19335</v>
      </c>
      <c r="H48" s="1" t="s">
        <v>149</v>
      </c>
      <c r="I48" s="1" t="n">
        <v>0</v>
      </c>
      <c r="J48" s="1" t="n">
        <v>0</v>
      </c>
      <c r="K48" s="1" t="n">
        <v>0</v>
      </c>
      <c r="L48" s="1" t="n">
        <v>16</v>
      </c>
      <c r="M48" s="1" t="n">
        <v>125837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1</v>
      </c>
      <c r="S48" s="1" t="n">
        <v>398332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1146726</v>
      </c>
      <c r="Y48" s="1" t="s">
        <v>150</v>
      </c>
      <c r="Z48" s="1" t="n">
        <v>12518.34</v>
      </c>
      <c r="AA48" s="1" t="n">
        <v>14.8</v>
      </c>
      <c r="AB48" s="1" t="n">
        <v>66</v>
      </c>
      <c r="AC48" s="1" t="n">
        <v>325226</v>
      </c>
      <c r="AD48" s="7" t="n">
        <f aca="false">X48/12</f>
        <v>95560.5</v>
      </c>
      <c r="AE48" s="8" t="n">
        <f aca="false">Z48/AD48</f>
        <v>0.130999105278855</v>
      </c>
      <c r="AF48" s="1" t="s">
        <v>151</v>
      </c>
    </row>
    <row r="49" s="3" customFormat="true" ht="16" hidden="false" customHeight="false" outlineLevel="0" collapsed="false">
      <c r="A49" s="1" t="n">
        <v>48</v>
      </c>
      <c r="B49" s="1" t="s">
        <v>265</v>
      </c>
      <c r="C49" s="1" t="s">
        <v>266</v>
      </c>
      <c r="D49" s="1" t="s">
        <v>267</v>
      </c>
      <c r="E49" s="1" t="s">
        <v>268</v>
      </c>
      <c r="F49" s="1" t="s">
        <v>123</v>
      </c>
      <c r="G49" s="1" t="n">
        <v>18702</v>
      </c>
      <c r="H49" s="1" t="s">
        <v>149</v>
      </c>
      <c r="I49" s="1" t="n">
        <v>1</v>
      </c>
      <c r="J49" s="1" t="n">
        <v>89628</v>
      </c>
      <c r="K49" s="1" t="n">
        <v>0</v>
      </c>
      <c r="L49" s="1" t="n">
        <v>2</v>
      </c>
      <c r="M49" s="1" t="n">
        <v>6384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773984</v>
      </c>
      <c r="Y49" s="1" t="s">
        <v>269</v>
      </c>
      <c r="Z49" s="1" t="n">
        <v>2225.28</v>
      </c>
      <c r="AA49" s="1" t="n">
        <v>13.7</v>
      </c>
      <c r="AB49" s="1" t="n">
        <v>0</v>
      </c>
      <c r="AC49" s="1" t="n">
        <v>67210</v>
      </c>
      <c r="AD49" s="7" t="n">
        <f aca="false">X49/12</f>
        <v>64498.6666666667</v>
      </c>
      <c r="AE49" s="8" t="n">
        <f aca="false">Z49/AD49</f>
        <v>0.0345011783189317</v>
      </c>
      <c r="AF49" s="1" t="s">
        <v>151</v>
      </c>
    </row>
    <row r="50" s="3" customFormat="true" ht="16" hidden="false" customHeight="false" outlineLevel="0" collapsed="false">
      <c r="A50" s="1" t="n">
        <v>49</v>
      </c>
      <c r="B50" s="1" t="s">
        <v>270</v>
      </c>
      <c r="C50" s="1" t="s">
        <v>271</v>
      </c>
      <c r="D50" s="1" t="s">
        <v>272</v>
      </c>
      <c r="E50" s="1" t="s">
        <v>273</v>
      </c>
      <c r="F50" s="1" t="s">
        <v>69</v>
      </c>
      <c r="G50" s="1" t="n">
        <v>60459</v>
      </c>
      <c r="H50" s="1" t="s">
        <v>43</v>
      </c>
      <c r="I50" s="1" t="n">
        <v>0</v>
      </c>
      <c r="J50" s="1" t="n">
        <v>0</v>
      </c>
      <c r="K50" s="1" t="n">
        <v>0</v>
      </c>
      <c r="L50" s="1" t="n">
        <v>10</v>
      </c>
      <c r="M50" s="1" t="n">
        <v>11799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1</v>
      </c>
      <c r="S50" s="1" t="n">
        <v>354552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1763390</v>
      </c>
      <c r="Y50" s="1" t="s">
        <v>165</v>
      </c>
      <c r="Z50" s="1" t="n">
        <v>8890.29</v>
      </c>
      <c r="AA50" s="1" t="n">
        <v>11</v>
      </c>
      <c r="AB50" s="1" t="n">
        <v>16</v>
      </c>
      <c r="AC50" s="1" t="n">
        <v>333432</v>
      </c>
      <c r="AD50" s="7" t="n">
        <f aca="false">X50/12</f>
        <v>146949.166666667</v>
      </c>
      <c r="AE50" s="8" t="n">
        <f aca="false">Z50/AD50</f>
        <v>0.0604990841504148</v>
      </c>
      <c r="AF50" s="1" t="s">
        <v>170</v>
      </c>
    </row>
    <row r="51" s="3" customFormat="true" ht="16" hidden="false" customHeight="false" outlineLevel="0" collapsed="false">
      <c r="A51" s="1" t="n">
        <v>50</v>
      </c>
      <c r="B51" s="1" t="s">
        <v>274</v>
      </c>
      <c r="C51" s="1" t="s">
        <v>275</v>
      </c>
      <c r="D51" s="1" t="s">
        <v>276</v>
      </c>
      <c r="E51" s="1" t="s">
        <v>277</v>
      </c>
      <c r="F51" s="1" t="s">
        <v>123</v>
      </c>
      <c r="G51" s="1" t="n">
        <v>19013</v>
      </c>
      <c r="H51" s="1" t="s">
        <v>43</v>
      </c>
      <c r="I51" s="1" t="n">
        <v>0</v>
      </c>
      <c r="J51" s="1" t="n">
        <v>0</v>
      </c>
      <c r="K51" s="1" t="n">
        <v>0</v>
      </c>
      <c r="L51" s="1" t="n">
        <v>7</v>
      </c>
      <c r="M51" s="1" t="n">
        <v>100738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1</v>
      </c>
      <c r="S51" s="1" t="n">
        <v>115720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452542</v>
      </c>
      <c r="Y51" s="1" t="s">
        <v>44</v>
      </c>
      <c r="Z51" s="1" t="n">
        <v>6825.75</v>
      </c>
      <c r="AA51" s="1" t="n">
        <v>18.9</v>
      </c>
      <c r="AB51" s="1" t="n">
        <v>16</v>
      </c>
      <c r="AC51" s="1" t="n">
        <v>194414</v>
      </c>
      <c r="AD51" s="7" t="n">
        <f aca="false">X51/12</f>
        <v>37711.8333333333</v>
      </c>
      <c r="AE51" s="8" t="n">
        <f aca="false">Z51/AD51</f>
        <v>0.180997564866907</v>
      </c>
      <c r="AF51" s="1" t="s">
        <v>151</v>
      </c>
    </row>
    <row r="52" s="3" customFormat="true" ht="16" hidden="false" customHeight="false" outlineLevel="0" collapsed="false">
      <c r="A52" s="1" t="n">
        <v>51</v>
      </c>
      <c r="B52" s="1" t="s">
        <v>278</v>
      </c>
      <c r="C52" s="1" t="s">
        <v>279</v>
      </c>
      <c r="D52" s="1" t="s">
        <v>280</v>
      </c>
      <c r="E52" s="1" t="s">
        <v>281</v>
      </c>
      <c r="F52" s="1" t="s">
        <v>49</v>
      </c>
      <c r="G52" s="1" t="n">
        <v>1867</v>
      </c>
      <c r="H52" s="1" t="s">
        <v>149</v>
      </c>
      <c r="I52" s="1" t="n">
        <v>0</v>
      </c>
      <c r="J52" s="1" t="n">
        <v>0</v>
      </c>
      <c r="K52" s="1" t="n">
        <v>0</v>
      </c>
      <c r="L52" s="1" t="n">
        <v>15</v>
      </c>
      <c r="M52" s="1" t="n">
        <v>12236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1</v>
      </c>
      <c r="S52" s="1" t="n">
        <v>89848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3413882</v>
      </c>
      <c r="Y52" s="1" t="s">
        <v>71</v>
      </c>
      <c r="Z52" s="1" t="n">
        <v>37268.31</v>
      </c>
      <c r="AA52" s="1" t="n">
        <v>19</v>
      </c>
      <c r="AB52" s="1" t="n">
        <v>15</v>
      </c>
      <c r="AC52" s="1" t="n">
        <v>38214</v>
      </c>
      <c r="AD52" s="7" t="n">
        <f aca="false">X52/12</f>
        <v>284490.166666667</v>
      </c>
      <c r="AE52" s="8" t="n">
        <f aca="false">Z52/AD52</f>
        <v>0.131000345061722</v>
      </c>
      <c r="AF52" s="1" t="s">
        <v>151</v>
      </c>
    </row>
    <row r="53" s="3" customFormat="true" ht="16" hidden="false" customHeight="false" outlineLevel="0" collapsed="false">
      <c r="A53" s="1" t="n">
        <v>52</v>
      </c>
      <c r="B53" s="1" t="s">
        <v>282</v>
      </c>
      <c r="C53" s="1" t="s">
        <v>283</v>
      </c>
      <c r="D53" s="1" t="s">
        <v>284</v>
      </c>
      <c r="E53" s="1" t="s">
        <v>285</v>
      </c>
      <c r="F53" s="1" t="s">
        <v>286</v>
      </c>
      <c r="G53" s="1" t="n">
        <v>6082</v>
      </c>
      <c r="H53" s="1" t="s">
        <v>149</v>
      </c>
      <c r="I53" s="1" t="n">
        <v>0</v>
      </c>
      <c r="J53" s="1" t="n">
        <v>0</v>
      </c>
      <c r="K53" s="1" t="n">
        <v>0</v>
      </c>
      <c r="L53" s="1" t="n">
        <v>8</v>
      </c>
      <c r="M53" s="1" t="n">
        <v>88521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1</v>
      </c>
      <c r="V53" s="1" t="n">
        <v>244794</v>
      </c>
      <c r="W53" s="1" t="n">
        <v>0</v>
      </c>
      <c r="X53" s="1" t="n">
        <v>653429</v>
      </c>
      <c r="Y53" s="1" t="s">
        <v>200</v>
      </c>
      <c r="Z53" s="1" t="n">
        <v>6370.89</v>
      </c>
      <c r="AA53" s="1" t="n">
        <v>8.3</v>
      </c>
      <c r="AB53" s="1" t="n">
        <v>48</v>
      </c>
      <c r="AC53" s="1" t="n">
        <v>313456</v>
      </c>
      <c r="AD53" s="7" t="n">
        <f aca="false">X53/12</f>
        <v>54452.4166666667</v>
      </c>
      <c r="AE53" s="8" t="n">
        <f aca="false">Z53/AD53</f>
        <v>0.116999214910878</v>
      </c>
      <c r="AF53" s="1" t="s">
        <v>170</v>
      </c>
    </row>
    <row r="54" s="3" customFormat="true" ht="16" hidden="false" customHeight="false" outlineLevel="0" collapsed="false">
      <c r="A54" s="1" t="n">
        <v>53</v>
      </c>
      <c r="B54" s="1" t="s">
        <v>287</v>
      </c>
      <c r="C54" s="1" t="s">
        <v>288</v>
      </c>
      <c r="D54" s="1" t="s">
        <v>289</v>
      </c>
      <c r="E54" s="1" t="s">
        <v>290</v>
      </c>
      <c r="F54" s="1" t="s">
        <v>291</v>
      </c>
      <c r="G54" s="1" t="n">
        <v>30132</v>
      </c>
      <c r="H54" s="1" t="s">
        <v>43</v>
      </c>
      <c r="I54" s="1" t="n">
        <v>0</v>
      </c>
      <c r="J54" s="1" t="n">
        <v>0</v>
      </c>
      <c r="K54" s="1" t="n">
        <v>0</v>
      </c>
      <c r="L54" s="1" t="n">
        <v>6</v>
      </c>
      <c r="M54" s="1" t="n">
        <v>69958</v>
      </c>
      <c r="N54" s="1" t="n">
        <v>1</v>
      </c>
      <c r="O54" s="1" t="n">
        <v>0</v>
      </c>
      <c r="P54" s="1" t="n">
        <v>0</v>
      </c>
      <c r="Q54" s="1" t="n">
        <v>0</v>
      </c>
      <c r="R54" s="1" t="n">
        <v>1</v>
      </c>
      <c r="S54" s="1" t="n">
        <v>76274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2653882</v>
      </c>
      <c r="Y54" s="1" t="s">
        <v>71</v>
      </c>
      <c r="Z54" s="1" t="n">
        <v>12163.61</v>
      </c>
      <c r="AA54" s="1" t="n">
        <v>16.9</v>
      </c>
      <c r="AB54" s="1" t="n">
        <v>78</v>
      </c>
      <c r="AC54" s="1" t="n">
        <v>149160</v>
      </c>
      <c r="AD54" s="7" t="n">
        <f aca="false">X54/12</f>
        <v>221156.833333333</v>
      </c>
      <c r="AE54" s="8" t="n">
        <f aca="false">Z54/AD54</f>
        <v>0.0549999284067641</v>
      </c>
      <c r="AF54" s="1" t="s">
        <v>170</v>
      </c>
    </row>
    <row r="55" s="3" customFormat="true" ht="16" hidden="false" customHeight="false" outlineLevel="0" collapsed="false">
      <c r="A55" s="1" t="n">
        <v>54</v>
      </c>
      <c r="B55" s="1" t="s">
        <v>292</v>
      </c>
      <c r="C55" s="1" t="s">
        <v>293</v>
      </c>
      <c r="D55" s="1" t="s">
        <v>294</v>
      </c>
      <c r="E55" s="1" t="s">
        <v>295</v>
      </c>
      <c r="F55" s="1" t="s">
        <v>129</v>
      </c>
      <c r="G55" s="1" t="n">
        <v>37643</v>
      </c>
      <c r="H55" s="1" t="s">
        <v>149</v>
      </c>
      <c r="I55" s="1" t="n">
        <v>1</v>
      </c>
      <c r="J55" s="1" t="n">
        <v>51854</v>
      </c>
      <c r="K55" s="1" t="n">
        <v>0</v>
      </c>
      <c r="L55" s="1" t="n">
        <v>6</v>
      </c>
      <c r="M55" s="1" t="n">
        <v>13642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485203</v>
      </c>
      <c r="Y55" s="1" t="s">
        <v>150</v>
      </c>
      <c r="Z55" s="1" t="n">
        <v>6105.65</v>
      </c>
      <c r="AA55" s="1" t="n">
        <v>16.5</v>
      </c>
      <c r="AB55" s="1" t="n">
        <v>16</v>
      </c>
      <c r="AC55" s="1" t="n">
        <v>272338</v>
      </c>
      <c r="AD55" s="7" t="n">
        <f aca="false">X55/12</f>
        <v>40433.5833333333</v>
      </c>
      <c r="AE55" s="8" t="n">
        <f aca="false">Z55/AD55</f>
        <v>0.15100442495203</v>
      </c>
      <c r="AF55" s="1" t="s">
        <v>170</v>
      </c>
    </row>
    <row r="56" s="3" customFormat="true" ht="16" hidden="false" customHeight="false" outlineLevel="0" collapsed="false">
      <c r="A56" s="1" t="n">
        <v>55</v>
      </c>
      <c r="B56" s="1" t="s">
        <v>296</v>
      </c>
      <c r="C56" s="1" t="s">
        <v>297</v>
      </c>
      <c r="D56" s="1" t="s">
        <v>298</v>
      </c>
      <c r="E56" s="1" t="s">
        <v>299</v>
      </c>
      <c r="F56" s="1" t="s">
        <v>69</v>
      </c>
      <c r="G56" s="1" t="n">
        <v>60621</v>
      </c>
      <c r="H56" s="1" t="s">
        <v>43</v>
      </c>
      <c r="I56" s="1" t="n">
        <v>0</v>
      </c>
      <c r="J56" s="1" t="n">
        <v>0</v>
      </c>
      <c r="K56" s="1" t="n">
        <v>0</v>
      </c>
      <c r="L56" s="1" t="n">
        <v>8</v>
      </c>
      <c r="M56" s="1" t="n">
        <v>324254</v>
      </c>
      <c r="N56" s="1" t="n">
        <v>0</v>
      </c>
      <c r="O56" s="1" t="n">
        <v>1</v>
      </c>
      <c r="P56" s="1" t="n">
        <v>216788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1497808</v>
      </c>
      <c r="Y56" s="1" t="s">
        <v>269</v>
      </c>
      <c r="Z56" s="1" t="n">
        <v>26960.62</v>
      </c>
      <c r="AA56" s="1" t="n">
        <v>21.9</v>
      </c>
      <c r="AB56" s="1" t="n">
        <v>77</v>
      </c>
      <c r="AC56" s="1" t="n">
        <v>398992</v>
      </c>
      <c r="AD56" s="7" t="n">
        <f aca="false">X56/12</f>
        <v>124817.333333333</v>
      </c>
      <c r="AE56" s="8" t="n">
        <f aca="false">Z56/AD56</f>
        <v>0.216000608889791</v>
      </c>
      <c r="AF56" s="1" t="s">
        <v>170</v>
      </c>
    </row>
    <row r="57" s="3" customFormat="true" ht="16" hidden="false" customHeight="false" outlineLevel="0" collapsed="false">
      <c r="A57" s="1" t="n">
        <v>56</v>
      </c>
      <c r="B57" s="1" t="s">
        <v>300</v>
      </c>
      <c r="C57" s="1" t="s">
        <v>301</v>
      </c>
      <c r="D57" s="1" t="s">
        <v>302</v>
      </c>
      <c r="E57" s="1" t="s">
        <v>303</v>
      </c>
      <c r="F57" s="1" t="s">
        <v>291</v>
      </c>
      <c r="G57" s="1" t="n">
        <v>31525</v>
      </c>
      <c r="H57" s="1" t="s">
        <v>149</v>
      </c>
      <c r="I57" s="1" t="n">
        <v>0</v>
      </c>
      <c r="J57" s="1" t="n">
        <v>0</v>
      </c>
      <c r="K57" s="1" t="n">
        <v>0</v>
      </c>
      <c r="L57" s="1" t="n">
        <v>14</v>
      </c>
      <c r="M57" s="1" t="n">
        <v>241547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</v>
      </c>
      <c r="V57" s="1" t="n">
        <v>133210</v>
      </c>
      <c r="W57" s="1" t="n">
        <v>0</v>
      </c>
      <c r="X57" s="1" t="n">
        <v>1533984</v>
      </c>
      <c r="Y57" s="1" t="s">
        <v>44</v>
      </c>
      <c r="Z57" s="1" t="n">
        <v>31574.58</v>
      </c>
      <c r="AA57" s="1" t="n">
        <v>16</v>
      </c>
      <c r="AB57" s="1" t="n">
        <v>55</v>
      </c>
      <c r="AC57" s="1" t="n">
        <v>421850</v>
      </c>
      <c r="AD57" s="7" t="n">
        <f aca="false">X57/12</f>
        <v>127832</v>
      </c>
      <c r="AE57" s="8" t="n">
        <f aca="false">Z57/AD57</f>
        <v>0.247000594530321</v>
      </c>
      <c r="AF57" s="1" t="s">
        <v>170</v>
      </c>
    </row>
    <row r="58" s="3" customFormat="true" ht="16" hidden="false" customHeight="false" outlineLevel="0" collapsed="false">
      <c r="A58" s="1" t="n">
        <v>57</v>
      </c>
      <c r="B58" s="1" t="s">
        <v>304</v>
      </c>
      <c r="C58" s="1" t="s">
        <v>305</v>
      </c>
      <c r="D58" s="1" t="s">
        <v>306</v>
      </c>
      <c r="E58" s="1" t="s">
        <v>307</v>
      </c>
      <c r="F58" s="1" t="s">
        <v>308</v>
      </c>
      <c r="G58" s="1" t="n">
        <v>4103</v>
      </c>
      <c r="H58" s="1" t="s">
        <v>252</v>
      </c>
      <c r="I58" s="1" t="n">
        <v>0</v>
      </c>
      <c r="J58" s="1" t="n">
        <v>0</v>
      </c>
      <c r="K58" s="1" t="n">
        <v>0</v>
      </c>
      <c r="L58" s="1" t="n">
        <v>8</v>
      </c>
      <c r="M58" s="1" t="n">
        <v>99826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1</v>
      </c>
      <c r="S58" s="1" t="n">
        <v>386540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1706219</v>
      </c>
      <c r="Y58" s="1" t="s">
        <v>178</v>
      </c>
      <c r="Z58" s="1" t="n">
        <v>4749.05</v>
      </c>
      <c r="AA58" s="1" t="n">
        <v>12</v>
      </c>
      <c r="AB58" s="1" t="n">
        <v>12</v>
      </c>
      <c r="AC58" s="1" t="n">
        <v>225324</v>
      </c>
      <c r="AD58" s="7" t="n">
        <f aca="false">X58/12</f>
        <v>142184.916666667</v>
      </c>
      <c r="AE58" s="8" t="n">
        <f aca="false">Z58/AD58</f>
        <v>0.033400518925179</v>
      </c>
      <c r="AF58" s="1" t="s">
        <v>170</v>
      </c>
    </row>
    <row r="59" s="3" customFormat="true" ht="16" hidden="false" customHeight="false" outlineLevel="0" collapsed="false">
      <c r="A59" s="1" t="n">
        <v>58</v>
      </c>
      <c r="B59" s="1" t="s">
        <v>309</v>
      </c>
      <c r="C59" s="1" t="s">
        <v>310</v>
      </c>
      <c r="D59" s="1" t="s">
        <v>311</v>
      </c>
      <c r="E59" s="1" t="s">
        <v>312</v>
      </c>
      <c r="F59" s="1" t="s">
        <v>123</v>
      </c>
      <c r="G59" s="1" t="n">
        <v>18974</v>
      </c>
      <c r="H59" s="1" t="s">
        <v>149</v>
      </c>
      <c r="I59" s="1" t="n">
        <v>1</v>
      </c>
      <c r="J59" s="1" t="n">
        <v>222838</v>
      </c>
      <c r="K59" s="1" t="n">
        <v>0</v>
      </c>
      <c r="L59" s="1" t="n">
        <v>2</v>
      </c>
      <c r="M59" s="1" t="n">
        <v>30267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488205</v>
      </c>
      <c r="Y59" s="1" t="s">
        <v>269</v>
      </c>
      <c r="Z59" s="1" t="n">
        <v>3576.18</v>
      </c>
      <c r="AA59" s="1" t="n">
        <v>19</v>
      </c>
      <c r="AB59" s="1" t="n">
        <v>0</v>
      </c>
      <c r="AC59" s="1" t="n">
        <v>89210</v>
      </c>
      <c r="AD59" s="7" t="n">
        <f aca="false">X59/12</f>
        <v>40683.75</v>
      </c>
      <c r="AE59" s="8" t="n">
        <f aca="false">Z59/AD59</f>
        <v>0.0879019264448336</v>
      </c>
      <c r="AF59" s="1" t="s">
        <v>170</v>
      </c>
    </row>
    <row r="60" s="3" customFormat="true" ht="16" hidden="false" customHeight="false" outlineLevel="0" collapsed="false">
      <c r="A60" s="1" t="n">
        <v>59</v>
      </c>
      <c r="B60" s="1" t="s">
        <v>313</v>
      </c>
      <c r="C60" s="1" t="s">
        <v>314</v>
      </c>
      <c r="D60" s="1" t="s">
        <v>315</v>
      </c>
      <c r="E60" s="1" t="s">
        <v>316</v>
      </c>
      <c r="F60" s="1" t="s">
        <v>49</v>
      </c>
      <c r="G60" s="1" t="n">
        <v>1701</v>
      </c>
      <c r="H60" s="1" t="s">
        <v>149</v>
      </c>
      <c r="I60" s="1" t="n">
        <v>0</v>
      </c>
      <c r="J60" s="1" t="n">
        <v>0</v>
      </c>
      <c r="K60" s="1" t="n">
        <v>0</v>
      </c>
      <c r="L60" s="1" t="n">
        <v>17</v>
      </c>
      <c r="M60" s="1" t="n">
        <v>300067</v>
      </c>
      <c r="N60" s="1" t="n">
        <v>0</v>
      </c>
      <c r="O60" s="1" t="n">
        <v>1</v>
      </c>
      <c r="P60" s="1" t="n">
        <v>110792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1125123</v>
      </c>
      <c r="Y60" s="1" t="s">
        <v>71</v>
      </c>
      <c r="Z60" s="1" t="n">
        <v>18845.91</v>
      </c>
      <c r="AA60" s="1" t="n">
        <v>18.5</v>
      </c>
      <c r="AB60" s="1" t="n">
        <v>30</v>
      </c>
      <c r="AC60" s="1" t="n">
        <v>498498</v>
      </c>
      <c r="AD60" s="7" t="n">
        <f aca="false">X60/12</f>
        <v>93760.25</v>
      </c>
      <c r="AE60" s="8" t="n">
        <f aca="false">Z60/AD60</f>
        <v>0.201001063883682</v>
      </c>
      <c r="AF60" s="1" t="s">
        <v>151</v>
      </c>
    </row>
    <row r="61" s="3" customFormat="true" ht="16" hidden="false" customHeight="false" outlineLevel="0" collapsed="false">
      <c r="A61" s="1" t="n">
        <v>60</v>
      </c>
      <c r="B61" s="1" t="s">
        <v>317</v>
      </c>
      <c r="C61" s="1" t="s">
        <v>318</v>
      </c>
      <c r="D61" s="1" t="s">
        <v>319</v>
      </c>
      <c r="E61" s="1" t="s">
        <v>68</v>
      </c>
      <c r="F61" s="1" t="s">
        <v>69</v>
      </c>
      <c r="G61" s="1" t="n">
        <v>60172</v>
      </c>
      <c r="H61" s="1" t="s">
        <v>149</v>
      </c>
      <c r="I61" s="1" t="n">
        <v>0</v>
      </c>
      <c r="J61" s="1" t="n">
        <v>0</v>
      </c>
      <c r="K61" s="1" t="n">
        <v>0</v>
      </c>
      <c r="L61" s="1" t="n">
        <v>8</v>
      </c>
      <c r="M61" s="1" t="n">
        <v>343102</v>
      </c>
      <c r="N61" s="1" t="n">
        <v>0</v>
      </c>
      <c r="O61" s="1" t="n">
        <v>1</v>
      </c>
      <c r="P61" s="1" t="n">
        <v>67474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1340241</v>
      </c>
      <c r="Y61" s="1" t="s">
        <v>156</v>
      </c>
      <c r="Z61" s="1" t="n">
        <v>9694.37</v>
      </c>
      <c r="AA61" s="1" t="n">
        <v>18.9</v>
      </c>
      <c r="AB61" s="1" t="n">
        <v>81</v>
      </c>
      <c r="AC61" s="1" t="n">
        <v>460878</v>
      </c>
      <c r="AD61" s="7" t="n">
        <f aca="false">X61/12</f>
        <v>111686.75</v>
      </c>
      <c r="AE61" s="8" t="n">
        <f aca="false">Z61/AD61</f>
        <v>0.0867996427508187</v>
      </c>
      <c r="AF61" s="1" t="s">
        <v>170</v>
      </c>
    </row>
    <row r="62" s="3" customFormat="true" ht="16" hidden="false" customHeight="false" outlineLevel="0" collapsed="false">
      <c r="A62" s="1" t="n">
        <v>61</v>
      </c>
      <c r="B62" s="1" t="s">
        <v>320</v>
      </c>
      <c r="C62" s="1" t="s">
        <v>321</v>
      </c>
      <c r="D62" s="1" t="s">
        <v>322</v>
      </c>
      <c r="E62" s="1" t="s">
        <v>323</v>
      </c>
      <c r="F62" s="1" t="s">
        <v>87</v>
      </c>
      <c r="G62" s="1" t="n">
        <v>20748</v>
      </c>
      <c r="H62" s="1" t="s">
        <v>149</v>
      </c>
      <c r="I62" s="1" t="n">
        <v>1</v>
      </c>
      <c r="J62" s="1" t="n">
        <v>96778</v>
      </c>
      <c r="K62" s="1" t="n">
        <v>0</v>
      </c>
      <c r="L62" s="1" t="n">
        <v>11</v>
      </c>
      <c r="M62" s="1" t="n">
        <v>33763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705831</v>
      </c>
      <c r="Y62" s="1" t="s">
        <v>192</v>
      </c>
      <c r="Z62" s="1" t="n">
        <v>7940.48</v>
      </c>
      <c r="AA62" s="1" t="n">
        <v>18.5</v>
      </c>
      <c r="AB62" s="1" t="n">
        <v>46</v>
      </c>
      <c r="AC62" s="1" t="n">
        <v>131208</v>
      </c>
      <c r="AD62" s="7" t="n">
        <f aca="false">X62/12</f>
        <v>58819.25</v>
      </c>
      <c r="AE62" s="8" t="n">
        <f aca="false">Z62/AD62</f>
        <v>0.134997981103125</v>
      </c>
      <c r="AF62" s="1" t="s">
        <v>151</v>
      </c>
    </row>
    <row r="63" s="3" customFormat="true" ht="16" hidden="false" customHeight="false" outlineLevel="0" collapsed="false">
      <c r="A63" s="1" t="n">
        <v>62</v>
      </c>
      <c r="B63" s="1" t="s">
        <v>324</v>
      </c>
      <c r="C63" s="1" t="s">
        <v>325</v>
      </c>
      <c r="D63" s="1" t="s">
        <v>326</v>
      </c>
      <c r="E63" s="1" t="s">
        <v>327</v>
      </c>
      <c r="F63" s="1" t="s">
        <v>139</v>
      </c>
      <c r="G63" s="1" t="n">
        <v>48192</v>
      </c>
      <c r="H63" s="1" t="s">
        <v>76</v>
      </c>
      <c r="I63" s="1" t="n">
        <v>1</v>
      </c>
      <c r="J63" s="1" t="n">
        <v>132836</v>
      </c>
      <c r="K63" s="1" t="n">
        <v>0</v>
      </c>
      <c r="L63" s="1" t="n">
        <v>9</v>
      </c>
      <c r="M63" s="1" t="n">
        <v>106780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803035</v>
      </c>
      <c r="Y63" s="1" t="s">
        <v>58</v>
      </c>
      <c r="Z63" s="1" t="n">
        <v>16461.98</v>
      </c>
      <c r="AA63" s="1" t="n">
        <v>13.5</v>
      </c>
      <c r="AB63" s="1" t="n">
        <v>23</v>
      </c>
      <c r="AC63" s="1" t="n">
        <v>128414</v>
      </c>
      <c r="AD63" s="7" t="n">
        <f aca="false">X63/12</f>
        <v>66919.5833333333</v>
      </c>
      <c r="AE63" s="8" t="n">
        <f aca="false">Z63/AD63</f>
        <v>0.245996450964155</v>
      </c>
      <c r="AF63" s="1" t="s">
        <v>151</v>
      </c>
    </row>
    <row r="64" s="3" customFormat="true" ht="16" hidden="false" customHeight="false" outlineLevel="0" collapsed="false">
      <c r="A64" s="1" t="n">
        <v>63</v>
      </c>
      <c r="B64" s="1" t="s">
        <v>328</v>
      </c>
      <c r="C64" s="1" t="s">
        <v>329</v>
      </c>
      <c r="D64" s="1" t="s">
        <v>330</v>
      </c>
      <c r="E64" s="1" t="s">
        <v>331</v>
      </c>
      <c r="F64" s="1" t="s">
        <v>332</v>
      </c>
      <c r="G64" s="1" t="n">
        <v>80123</v>
      </c>
      <c r="H64" s="1" t="s">
        <v>43</v>
      </c>
      <c r="I64" s="1" t="n">
        <v>0</v>
      </c>
      <c r="J64" s="1" t="n">
        <v>0</v>
      </c>
      <c r="K64" s="1" t="n">
        <v>0</v>
      </c>
      <c r="L64" s="1" t="n">
        <v>18</v>
      </c>
      <c r="M64" s="1" t="n">
        <v>268109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1</v>
      </c>
      <c r="V64" s="1" t="n">
        <v>358622</v>
      </c>
      <c r="W64" s="1" t="n">
        <v>0</v>
      </c>
      <c r="X64" s="1" t="n">
        <v>1955081</v>
      </c>
      <c r="Y64" s="1" t="s">
        <v>165</v>
      </c>
      <c r="Z64" s="1" t="n">
        <v>46921.83</v>
      </c>
      <c r="AA64" s="1" t="n">
        <v>19.4</v>
      </c>
      <c r="AB64" s="1" t="n">
        <v>6</v>
      </c>
      <c r="AC64" s="1" t="n">
        <v>732182</v>
      </c>
      <c r="AD64" s="7" t="n">
        <f aca="false">X64/12</f>
        <v>162923.416666667</v>
      </c>
      <c r="AE64" s="8" t="n">
        <f aca="false">Z64/AD64</f>
        <v>0.287999300284745</v>
      </c>
      <c r="AF64" s="1" t="s">
        <v>170</v>
      </c>
    </row>
    <row r="65" s="3" customFormat="true" ht="16" hidden="false" customHeight="false" outlineLevel="0" collapsed="false">
      <c r="A65" s="1" t="n">
        <v>64</v>
      </c>
      <c r="B65" s="1" t="s">
        <v>333</v>
      </c>
      <c r="C65" s="1" t="s">
        <v>334</v>
      </c>
      <c r="D65" s="1" t="s">
        <v>335</v>
      </c>
      <c r="E65" s="1" t="s">
        <v>336</v>
      </c>
      <c r="F65" s="1" t="s">
        <v>69</v>
      </c>
      <c r="G65" s="1" t="n">
        <v>60008</v>
      </c>
      <c r="H65" s="1" t="s">
        <v>149</v>
      </c>
      <c r="I65" s="1" t="n">
        <v>0</v>
      </c>
      <c r="J65" s="1" t="n">
        <v>0</v>
      </c>
      <c r="K65" s="1" t="n">
        <v>0</v>
      </c>
      <c r="L65" s="1" t="n">
        <v>14</v>
      </c>
      <c r="M65" s="1" t="n">
        <v>12388</v>
      </c>
      <c r="N65" s="1" t="n">
        <v>1</v>
      </c>
      <c r="O65" s="1" t="n">
        <v>1</v>
      </c>
      <c r="P65" s="1" t="n">
        <v>331496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668002</v>
      </c>
      <c r="Y65" s="1" t="s">
        <v>269</v>
      </c>
      <c r="Z65" s="1" t="n">
        <v>8127.25</v>
      </c>
      <c r="AA65" s="1" t="n">
        <v>11.1</v>
      </c>
      <c r="AB65" s="1" t="n">
        <v>23</v>
      </c>
      <c r="AC65" s="1" t="n">
        <v>101728</v>
      </c>
      <c r="AD65" s="7" t="n">
        <f aca="false">X65/12</f>
        <v>55666.8333333333</v>
      </c>
      <c r="AE65" s="8" t="n">
        <f aca="false">Z65/AD65</f>
        <v>0.145998065874054</v>
      </c>
      <c r="AF65" s="1" t="s">
        <v>170</v>
      </c>
    </row>
    <row r="66" s="3" customFormat="true" ht="16" hidden="false" customHeight="false" outlineLevel="0" collapsed="false">
      <c r="A66" s="1" t="n">
        <v>65</v>
      </c>
      <c r="B66" s="1" t="s">
        <v>337</v>
      </c>
      <c r="C66" s="1" t="s">
        <v>338</v>
      </c>
      <c r="D66" s="1" t="s">
        <v>339</v>
      </c>
      <c r="E66" s="1" t="s">
        <v>80</v>
      </c>
      <c r="F66" s="1" t="s">
        <v>81</v>
      </c>
      <c r="G66" s="1" t="n">
        <v>92831</v>
      </c>
      <c r="H66" s="1" t="s">
        <v>43</v>
      </c>
      <c r="I66" s="1" t="n">
        <v>1</v>
      </c>
      <c r="J66" s="1" t="n">
        <v>154990</v>
      </c>
      <c r="K66" s="1" t="n">
        <v>0</v>
      </c>
      <c r="L66" s="1" t="n">
        <v>11</v>
      </c>
      <c r="M66" s="1" t="n">
        <v>128098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898719</v>
      </c>
      <c r="Y66" s="1" t="s">
        <v>178</v>
      </c>
      <c r="Z66" s="1" t="n">
        <v>16326.51</v>
      </c>
      <c r="AA66" s="1" t="n">
        <v>15.6</v>
      </c>
      <c r="AB66" s="1" t="n">
        <v>9</v>
      </c>
      <c r="AC66" s="1" t="n">
        <v>228536</v>
      </c>
      <c r="AD66" s="7" t="n">
        <f aca="false">X66/12</f>
        <v>74893.25</v>
      </c>
      <c r="AE66" s="8" t="n">
        <f aca="false">Z66/AD66</f>
        <v>0.217997082514112</v>
      </c>
      <c r="AF66" s="1" t="s">
        <v>151</v>
      </c>
    </row>
    <row r="67" s="3" customFormat="true" ht="16" hidden="false" customHeight="false" outlineLevel="0" collapsed="false">
      <c r="A67" s="1" t="n">
        <v>66</v>
      </c>
      <c r="B67" s="1" t="s">
        <v>340</v>
      </c>
      <c r="C67" s="1" t="s">
        <v>341</v>
      </c>
      <c r="D67" s="1" t="s">
        <v>342</v>
      </c>
      <c r="E67" s="1" t="s">
        <v>343</v>
      </c>
      <c r="F67" s="1" t="s">
        <v>56</v>
      </c>
      <c r="G67" s="1" t="n">
        <v>33594</v>
      </c>
      <c r="H67" s="1" t="s">
        <v>149</v>
      </c>
      <c r="I67" s="1" t="n">
        <v>0</v>
      </c>
      <c r="J67" s="1" t="n">
        <v>0</v>
      </c>
      <c r="K67" s="1" t="n">
        <v>0</v>
      </c>
      <c r="L67" s="1" t="n">
        <v>10</v>
      </c>
      <c r="M67" s="1" t="n">
        <v>222509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1</v>
      </c>
      <c r="S67" s="1" t="n">
        <v>395802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861593</v>
      </c>
      <c r="Y67" s="1" t="s">
        <v>156</v>
      </c>
      <c r="Z67" s="1" t="n">
        <v>18093.32</v>
      </c>
      <c r="AA67" s="1" t="n">
        <v>24.5</v>
      </c>
      <c r="AB67" s="1" t="n">
        <v>76</v>
      </c>
      <c r="AC67" s="1" t="n">
        <v>552904</v>
      </c>
      <c r="AD67" s="7" t="n">
        <f aca="false">X67/12</f>
        <v>71799.4166666667</v>
      </c>
      <c r="AE67" s="8" t="n">
        <f aca="false">Z67/AD67</f>
        <v>0.251998147617262</v>
      </c>
      <c r="AF67" s="1" t="s">
        <v>151</v>
      </c>
    </row>
    <row r="68" s="3" customFormat="true" ht="16" hidden="false" customHeight="false" outlineLevel="0" collapsed="false">
      <c r="A68" s="1" t="n">
        <v>67</v>
      </c>
      <c r="B68" s="1" t="s">
        <v>344</v>
      </c>
      <c r="C68" s="1" t="s">
        <v>345</v>
      </c>
      <c r="D68" s="1" t="s">
        <v>346</v>
      </c>
      <c r="E68" s="1" t="s">
        <v>347</v>
      </c>
      <c r="F68" s="1" t="s">
        <v>348</v>
      </c>
      <c r="G68" s="1" t="n">
        <v>25801</v>
      </c>
      <c r="H68" s="1" t="s">
        <v>252</v>
      </c>
      <c r="I68" s="1" t="n">
        <v>0</v>
      </c>
      <c r="J68" s="1" t="n">
        <v>0</v>
      </c>
      <c r="K68" s="1" t="n">
        <v>0</v>
      </c>
      <c r="L68" s="1" t="n">
        <v>5</v>
      </c>
      <c r="M68" s="1" t="n">
        <v>269477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1</v>
      </c>
      <c r="S68" s="1" t="n">
        <v>253308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608722</v>
      </c>
      <c r="Y68" s="1" t="s">
        <v>44</v>
      </c>
      <c r="Z68" s="1" t="n">
        <v>11667.33</v>
      </c>
      <c r="AA68" s="1" t="n">
        <v>16.8</v>
      </c>
      <c r="AB68" s="1" t="n">
        <v>63</v>
      </c>
      <c r="AC68" s="1" t="n">
        <v>363242</v>
      </c>
      <c r="AD68" s="7" t="n">
        <f aca="false">X68/12</f>
        <v>50726.8333333333</v>
      </c>
      <c r="AE68" s="8" t="n">
        <f aca="false">Z68/AD68</f>
        <v>0.230003121293464</v>
      </c>
      <c r="AF68" s="1" t="s">
        <v>170</v>
      </c>
    </row>
    <row r="69" s="3" customFormat="true" ht="16" hidden="false" customHeight="false" outlineLevel="0" collapsed="false">
      <c r="A69" s="1" t="n">
        <v>68</v>
      </c>
      <c r="B69" s="1" t="s">
        <v>349</v>
      </c>
      <c r="C69" s="1" t="s">
        <v>350</v>
      </c>
      <c r="D69" s="1" t="s">
        <v>351</v>
      </c>
      <c r="E69" s="1" t="s">
        <v>352</v>
      </c>
      <c r="F69" s="1" t="s">
        <v>353</v>
      </c>
      <c r="G69" s="1" t="n">
        <v>52001</v>
      </c>
      <c r="H69" s="1" t="s">
        <v>149</v>
      </c>
      <c r="I69" s="1" t="n">
        <v>0</v>
      </c>
      <c r="J69" s="1" t="n">
        <v>0</v>
      </c>
      <c r="K69" s="1" t="n">
        <v>0</v>
      </c>
      <c r="L69" s="1" t="n">
        <v>10</v>
      </c>
      <c r="M69" s="1" t="n">
        <v>391742</v>
      </c>
      <c r="N69" s="1" t="n">
        <v>0</v>
      </c>
      <c r="O69" s="1" t="n">
        <v>1</v>
      </c>
      <c r="P69" s="1" t="n">
        <v>140184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1007266</v>
      </c>
      <c r="Y69" s="1" t="s">
        <v>156</v>
      </c>
      <c r="Z69" s="1" t="n">
        <v>8519.79</v>
      </c>
      <c r="AA69" s="1" t="n">
        <v>31</v>
      </c>
      <c r="AB69" s="1" t="n">
        <v>73</v>
      </c>
      <c r="AC69" s="1" t="n">
        <v>623920</v>
      </c>
      <c r="AD69" s="7" t="n">
        <f aca="false">X69/12</f>
        <v>83938.8333333333</v>
      </c>
      <c r="AE69" s="8" t="n">
        <f aca="false">Z69/AD69</f>
        <v>0.101499981137058</v>
      </c>
      <c r="AF69" s="1" t="s">
        <v>170</v>
      </c>
    </row>
    <row r="70" s="3" customFormat="true" ht="16" hidden="false" customHeight="false" outlineLevel="0" collapsed="false">
      <c r="A70" s="1" t="n">
        <v>69</v>
      </c>
      <c r="B70" s="1" t="s">
        <v>354</v>
      </c>
      <c r="C70" s="1" t="s">
        <v>355</v>
      </c>
      <c r="D70" s="1" t="s">
        <v>356</v>
      </c>
      <c r="E70" s="1" t="s">
        <v>357</v>
      </c>
      <c r="F70" s="1" t="s">
        <v>183</v>
      </c>
      <c r="G70" s="1" t="n">
        <v>55303</v>
      </c>
      <c r="H70" s="1" t="s">
        <v>108</v>
      </c>
      <c r="I70" s="1" t="n">
        <v>0</v>
      </c>
      <c r="J70" s="1" t="n">
        <v>0</v>
      </c>
      <c r="K70" s="1" t="n">
        <v>0</v>
      </c>
      <c r="L70" s="1" t="n">
        <v>5</v>
      </c>
      <c r="M70" s="1" t="n">
        <v>34618</v>
      </c>
      <c r="N70" s="1" t="n">
        <v>0</v>
      </c>
      <c r="O70" s="1" t="n">
        <v>1</v>
      </c>
      <c r="P70" s="1" t="n">
        <v>449394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1084406</v>
      </c>
      <c r="Y70" s="1" t="s">
        <v>165</v>
      </c>
      <c r="Z70" s="1" t="n">
        <v>6181.08</v>
      </c>
      <c r="AA70" s="1" t="n">
        <v>11.7</v>
      </c>
      <c r="AB70" s="1" t="n">
        <v>7</v>
      </c>
      <c r="AC70" s="1" t="n">
        <v>94798</v>
      </c>
      <c r="AD70" s="7" t="n">
        <f aca="false">X70/12</f>
        <v>90367.1666666667</v>
      </c>
      <c r="AE70" s="8" t="n">
        <f aca="false">Z70/AD70</f>
        <v>0.0683996215439605</v>
      </c>
      <c r="AF70" s="1" t="s">
        <v>170</v>
      </c>
    </row>
    <row r="71" s="3" customFormat="true" ht="16" hidden="false" customHeight="false" outlineLevel="0" collapsed="false">
      <c r="A71" s="1" t="n">
        <v>70</v>
      </c>
      <c r="B71" s="1" t="s">
        <v>358</v>
      </c>
      <c r="C71" s="1" t="s">
        <v>359</v>
      </c>
      <c r="D71" s="1" t="s">
        <v>360</v>
      </c>
      <c r="E71" s="1" t="s">
        <v>361</v>
      </c>
      <c r="F71" s="1" t="s">
        <v>123</v>
      </c>
      <c r="G71" s="1" t="n">
        <v>19020</v>
      </c>
      <c r="H71" s="1" t="s">
        <v>149</v>
      </c>
      <c r="I71" s="1" t="n">
        <v>0</v>
      </c>
      <c r="J71" s="1" t="n">
        <v>0</v>
      </c>
      <c r="K71" s="1" t="n">
        <v>0</v>
      </c>
      <c r="L71" s="1" t="n">
        <v>13</v>
      </c>
      <c r="M71" s="1" t="n">
        <v>120764</v>
      </c>
      <c r="N71" s="1" t="n">
        <v>0</v>
      </c>
      <c r="O71" s="1" t="n">
        <v>1</v>
      </c>
      <c r="P71" s="1" t="n">
        <v>221914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1540881</v>
      </c>
      <c r="Y71" s="1" t="s">
        <v>156</v>
      </c>
      <c r="Z71" s="1" t="n">
        <v>19517.94</v>
      </c>
      <c r="AA71" s="1" t="n">
        <v>19.6</v>
      </c>
      <c r="AB71" s="1" t="n">
        <v>55</v>
      </c>
      <c r="AC71" s="1" t="n">
        <v>228492</v>
      </c>
      <c r="AD71" s="7" t="n">
        <f aca="false">X71/12</f>
        <v>128406.75</v>
      </c>
      <c r="AE71" s="8" t="n">
        <f aca="false">Z71/AD71</f>
        <v>0.152000887803795</v>
      </c>
      <c r="AF71" s="1" t="s">
        <v>151</v>
      </c>
    </row>
    <row r="72" s="3" customFormat="true" ht="16" hidden="false" customHeight="false" outlineLevel="0" collapsed="false">
      <c r="A72" s="1" t="n">
        <v>71</v>
      </c>
      <c r="B72" s="1" t="s">
        <v>362</v>
      </c>
      <c r="C72" s="1" t="s">
        <v>363</v>
      </c>
      <c r="D72" s="1" t="s">
        <v>364</v>
      </c>
      <c r="E72" s="1" t="s">
        <v>365</v>
      </c>
      <c r="F72" s="1" t="s">
        <v>87</v>
      </c>
      <c r="G72" s="1" t="n">
        <v>21244</v>
      </c>
      <c r="H72" s="1" t="s">
        <v>149</v>
      </c>
      <c r="I72" s="1" t="n">
        <v>0</v>
      </c>
      <c r="J72" s="1" t="n">
        <v>0</v>
      </c>
      <c r="K72" s="1" t="n">
        <v>0</v>
      </c>
      <c r="L72" s="1" t="n">
        <v>9</v>
      </c>
      <c r="M72" s="1" t="n">
        <v>523944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1</v>
      </c>
      <c r="S72" s="1" t="n">
        <v>620862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2298012</v>
      </c>
      <c r="Y72" s="1" t="s">
        <v>156</v>
      </c>
      <c r="Z72" s="1" t="n">
        <v>17005.38</v>
      </c>
      <c r="AA72" s="1" t="n">
        <v>20</v>
      </c>
      <c r="AB72" s="1" t="n">
        <v>39</v>
      </c>
      <c r="AC72" s="1" t="n">
        <v>781814</v>
      </c>
      <c r="AD72" s="7" t="n">
        <f aca="false">X72/12</f>
        <v>191501</v>
      </c>
      <c r="AE72" s="8" t="n">
        <f aca="false">Z72/AD72</f>
        <v>0.088800476237722</v>
      </c>
      <c r="AF72" s="1" t="s">
        <v>170</v>
      </c>
    </row>
    <row r="73" s="3" customFormat="true" ht="16" hidden="false" customHeight="false" outlineLevel="0" collapsed="false">
      <c r="A73" s="1" t="n">
        <v>72</v>
      </c>
      <c r="B73" s="1" t="s">
        <v>366</v>
      </c>
      <c r="C73" s="1" t="s">
        <v>367</v>
      </c>
      <c r="D73" s="1" t="s">
        <v>368</v>
      </c>
      <c r="E73" s="1" t="s">
        <v>369</v>
      </c>
      <c r="F73" s="1" t="s">
        <v>370</v>
      </c>
      <c r="G73" s="1" t="n">
        <v>39208</v>
      </c>
      <c r="H73" s="1" t="s">
        <v>43</v>
      </c>
      <c r="I73" s="1" t="n">
        <v>0</v>
      </c>
      <c r="J73" s="1" t="n">
        <v>0</v>
      </c>
      <c r="K73" s="1" t="n">
        <v>0</v>
      </c>
      <c r="L73" s="1" t="n">
        <v>12</v>
      </c>
      <c r="M73" s="1" t="n">
        <v>2000814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1</v>
      </c>
      <c r="S73" s="1" t="n">
        <v>322454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2557951</v>
      </c>
      <c r="Y73" s="1" t="s">
        <v>269</v>
      </c>
      <c r="Z73" s="1" t="n">
        <v>43698.29</v>
      </c>
      <c r="AA73" s="1" t="n">
        <v>38.2</v>
      </c>
      <c r="AB73" s="1" t="n">
        <v>32</v>
      </c>
      <c r="AC73" s="1" t="n">
        <v>2376132</v>
      </c>
      <c r="AD73" s="7" t="n">
        <f aca="false">X73/12</f>
        <v>213162.583333333</v>
      </c>
      <c r="AE73" s="8" t="n">
        <f aca="false">Z73/AD73</f>
        <v>0.204999814304496</v>
      </c>
      <c r="AF73" s="1" t="s">
        <v>170</v>
      </c>
    </row>
    <row r="74" s="3" customFormat="true" ht="16" hidden="false" customHeight="false" outlineLevel="0" collapsed="false">
      <c r="A74" s="1" t="n">
        <v>73</v>
      </c>
      <c r="B74" s="1" t="s">
        <v>371</v>
      </c>
      <c r="C74" s="1" t="s">
        <v>372</v>
      </c>
      <c r="D74" s="1" t="s">
        <v>373</v>
      </c>
      <c r="E74" s="1" t="s">
        <v>374</v>
      </c>
      <c r="F74" s="1" t="s">
        <v>139</v>
      </c>
      <c r="G74" s="1" t="n">
        <v>49428</v>
      </c>
      <c r="H74" s="1" t="s">
        <v>76</v>
      </c>
      <c r="I74" s="1" t="n">
        <v>0</v>
      </c>
      <c r="J74" s="1" t="n">
        <v>0</v>
      </c>
      <c r="K74" s="1" t="n">
        <v>0</v>
      </c>
      <c r="L74" s="1" t="n">
        <v>12</v>
      </c>
      <c r="M74" s="1" t="n">
        <v>150138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1</v>
      </c>
      <c r="S74" s="1" t="n">
        <v>594770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1163028</v>
      </c>
      <c r="Y74" s="1" t="s">
        <v>58</v>
      </c>
      <c r="Z74" s="1" t="n">
        <v>2704.08</v>
      </c>
      <c r="AA74" s="1" t="n">
        <v>10.5</v>
      </c>
      <c r="AB74" s="1" t="n">
        <v>2</v>
      </c>
      <c r="AC74" s="1" t="n">
        <v>783134</v>
      </c>
      <c r="AD74" s="7" t="n">
        <f aca="false">X74/12</f>
        <v>96919</v>
      </c>
      <c r="AE74" s="8" t="n">
        <f aca="false">Z74/AD74</f>
        <v>0.0279004116839835</v>
      </c>
      <c r="AF74" s="1" t="s">
        <v>151</v>
      </c>
    </row>
    <row r="75" s="3" customFormat="true" ht="16" hidden="false" customHeight="false" outlineLevel="0" collapsed="false">
      <c r="A75" s="1" t="n">
        <v>74</v>
      </c>
      <c r="B75" s="1" t="s">
        <v>375</v>
      </c>
      <c r="C75" s="1" t="s">
        <v>376</v>
      </c>
      <c r="D75" s="1" t="s">
        <v>377</v>
      </c>
      <c r="E75" s="1" t="s">
        <v>378</v>
      </c>
      <c r="F75" s="1" t="s">
        <v>42</v>
      </c>
      <c r="G75" s="1" t="n">
        <v>8330</v>
      </c>
      <c r="H75" s="1" t="s">
        <v>43</v>
      </c>
      <c r="I75" s="1" t="n">
        <v>0</v>
      </c>
      <c r="J75" s="1" t="n">
        <v>0</v>
      </c>
      <c r="K75" s="1" t="n">
        <v>0</v>
      </c>
      <c r="L75" s="1" t="n">
        <v>8</v>
      </c>
      <c r="M75" s="1" t="n">
        <v>7353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1</v>
      </c>
      <c r="V75" s="1" t="n">
        <v>223432</v>
      </c>
      <c r="W75" s="1" t="n">
        <v>0</v>
      </c>
      <c r="X75" s="1" t="n">
        <v>443897</v>
      </c>
      <c r="Y75" s="1" t="s">
        <v>150</v>
      </c>
      <c r="Z75" s="1" t="n">
        <v>4553.54</v>
      </c>
      <c r="AA75" s="1" t="n">
        <v>13.8</v>
      </c>
      <c r="AB75" s="1" t="n">
        <v>25</v>
      </c>
      <c r="AC75" s="1" t="n">
        <v>20130</v>
      </c>
      <c r="AD75" s="7" t="n">
        <f aca="false">X75/12</f>
        <v>36991.4166666667</v>
      </c>
      <c r="AE75" s="8" t="n">
        <f aca="false">Z75/AD75</f>
        <v>0.123097204982237</v>
      </c>
      <c r="AF75" s="1" t="s">
        <v>151</v>
      </c>
    </row>
    <row r="76" s="3" customFormat="true" ht="16" hidden="false" customHeight="false" outlineLevel="0" collapsed="false">
      <c r="A76" s="1" t="n">
        <v>75</v>
      </c>
      <c r="B76" s="1" t="s">
        <v>379</v>
      </c>
      <c r="C76" s="1" t="s">
        <v>380</v>
      </c>
      <c r="D76" s="1" t="s">
        <v>381</v>
      </c>
      <c r="E76" s="1" t="s">
        <v>382</v>
      </c>
      <c r="F76" s="1" t="s">
        <v>42</v>
      </c>
      <c r="G76" s="1" t="n">
        <v>8807</v>
      </c>
      <c r="H76" s="1" t="s">
        <v>43</v>
      </c>
      <c r="I76" s="1" t="n">
        <v>1</v>
      </c>
      <c r="J76" s="1" t="n">
        <v>142912</v>
      </c>
      <c r="K76" s="1" t="n">
        <v>0</v>
      </c>
      <c r="L76" s="1" t="n">
        <v>7</v>
      </c>
      <c r="M76" s="1" t="n">
        <v>215992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1832075</v>
      </c>
      <c r="Y76" s="1" t="s">
        <v>51</v>
      </c>
      <c r="Z76" s="1" t="n">
        <v>2793.95</v>
      </c>
      <c r="AA76" s="1" t="n">
        <v>18</v>
      </c>
      <c r="AB76" s="1" t="n">
        <v>0</v>
      </c>
      <c r="AC76" s="1" t="n">
        <v>1078000</v>
      </c>
      <c r="AD76" s="7" t="n">
        <f aca="false">X76/12</f>
        <v>152672.916666667</v>
      </c>
      <c r="AE76" s="8" t="n">
        <f aca="false">Z76/AD76</f>
        <v>0.0183002333419756</v>
      </c>
      <c r="AF76" s="1" t="s">
        <v>151</v>
      </c>
    </row>
    <row r="77" s="3" customFormat="true" ht="16" hidden="false" customHeight="false" outlineLevel="0" collapsed="false">
      <c r="A77" s="1" t="n">
        <v>76</v>
      </c>
      <c r="B77" s="1" t="s">
        <v>383</v>
      </c>
      <c r="C77" s="1" t="s">
        <v>384</v>
      </c>
      <c r="D77" s="1" t="s">
        <v>385</v>
      </c>
      <c r="E77" s="1" t="s">
        <v>55</v>
      </c>
      <c r="F77" s="1" t="s">
        <v>56</v>
      </c>
      <c r="G77" s="1" t="n">
        <v>33904</v>
      </c>
      <c r="H77" s="1" t="s">
        <v>76</v>
      </c>
      <c r="I77" s="1" t="n">
        <v>1</v>
      </c>
      <c r="J77" s="1" t="n">
        <v>33220</v>
      </c>
      <c r="K77" s="1" t="n">
        <v>0</v>
      </c>
      <c r="L77" s="1" t="n">
        <v>3</v>
      </c>
      <c r="M77" s="1" t="n">
        <v>94658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803339</v>
      </c>
      <c r="Y77" s="1" t="s">
        <v>269</v>
      </c>
      <c r="Z77" s="1" t="n">
        <v>2122.11</v>
      </c>
      <c r="AA77" s="1" t="n">
        <v>32</v>
      </c>
      <c r="AB77" s="1" t="n">
        <v>37</v>
      </c>
      <c r="AC77" s="1" t="n">
        <v>193666</v>
      </c>
      <c r="AD77" s="7" t="n">
        <f aca="false">X77/12</f>
        <v>66944.9166666667</v>
      </c>
      <c r="AE77" s="8" t="n">
        <f aca="false">Z77/AD77</f>
        <v>0.0316993448593931</v>
      </c>
      <c r="AF77" s="1" t="s">
        <v>170</v>
      </c>
    </row>
    <row r="78" s="3" customFormat="true" ht="16" hidden="false" customHeight="false" outlineLevel="0" collapsed="false">
      <c r="A78" s="1" t="n">
        <v>77</v>
      </c>
      <c r="B78" s="1" t="s">
        <v>386</v>
      </c>
      <c r="C78" s="1" t="s">
        <v>387</v>
      </c>
      <c r="D78" s="1" t="s">
        <v>388</v>
      </c>
      <c r="E78" s="1" t="s">
        <v>86</v>
      </c>
      <c r="F78" s="1" t="s">
        <v>87</v>
      </c>
      <c r="G78" s="1" t="n">
        <v>20854</v>
      </c>
      <c r="H78" s="1" t="s">
        <v>149</v>
      </c>
      <c r="I78" s="1" t="n">
        <v>0</v>
      </c>
      <c r="J78" s="1" t="n">
        <v>0</v>
      </c>
      <c r="K78" s="1" t="n">
        <v>0</v>
      </c>
      <c r="L78" s="1" t="n">
        <v>9</v>
      </c>
      <c r="M78" s="1" t="n">
        <v>637602</v>
      </c>
      <c r="N78" s="1" t="n">
        <v>0</v>
      </c>
      <c r="O78" s="1" t="n">
        <v>1</v>
      </c>
      <c r="P78" s="1" t="n">
        <v>153472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1704034</v>
      </c>
      <c r="Y78" s="1" t="s">
        <v>71</v>
      </c>
      <c r="Z78" s="1" t="n">
        <v>39902.66</v>
      </c>
      <c r="AA78" s="1" t="n">
        <v>20.2</v>
      </c>
      <c r="AB78" s="1" t="n">
        <v>55</v>
      </c>
      <c r="AC78" s="1" t="n">
        <v>1100264</v>
      </c>
      <c r="AD78" s="7" t="n">
        <f aca="false">X78/12</f>
        <v>142002.833333333</v>
      </c>
      <c r="AE78" s="8" t="n">
        <f aca="false">Z78/AD78</f>
        <v>0.280999041098945</v>
      </c>
      <c r="AF78" s="1" t="s">
        <v>151</v>
      </c>
    </row>
    <row r="79" s="3" customFormat="true" ht="16" hidden="false" customHeight="false" outlineLevel="0" collapsed="false">
      <c r="A79" s="1" t="n">
        <v>78</v>
      </c>
      <c r="B79" s="1" t="s">
        <v>389</v>
      </c>
      <c r="C79" s="1" t="s">
        <v>390</v>
      </c>
      <c r="D79" s="1" t="s">
        <v>391</v>
      </c>
      <c r="E79" s="1" t="s">
        <v>392</v>
      </c>
      <c r="F79" s="1" t="s">
        <v>69</v>
      </c>
      <c r="G79" s="1" t="n">
        <v>60188</v>
      </c>
      <c r="H79" s="1" t="s">
        <v>76</v>
      </c>
      <c r="I79" s="1" t="n">
        <v>1</v>
      </c>
      <c r="J79" s="1" t="n">
        <v>78298</v>
      </c>
      <c r="K79" s="1" t="n">
        <v>0</v>
      </c>
      <c r="L79" s="1" t="n">
        <v>6</v>
      </c>
      <c r="M79" s="1" t="n">
        <v>46037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231838</v>
      </c>
      <c r="Y79" s="1" t="s">
        <v>150</v>
      </c>
      <c r="Z79" s="1" t="n">
        <v>2318.38</v>
      </c>
      <c r="AA79" s="1" t="n">
        <v>32.7</v>
      </c>
      <c r="AB79" s="1" t="n">
        <v>8</v>
      </c>
      <c r="AC79" s="1" t="n">
        <v>55946</v>
      </c>
      <c r="AD79" s="7" t="n">
        <f aca="false">X79/12</f>
        <v>19319.8333333333</v>
      </c>
      <c r="AE79" s="8" t="n">
        <f aca="false">Z79/AD79</f>
        <v>0.12</v>
      </c>
      <c r="AF79" s="1" t="s">
        <v>151</v>
      </c>
    </row>
    <row r="80" s="3" customFormat="true" ht="16" hidden="false" customHeight="false" outlineLevel="0" collapsed="false">
      <c r="A80" s="1" t="n">
        <v>79</v>
      </c>
      <c r="B80" s="1" t="s">
        <v>393</v>
      </c>
      <c r="C80" s="1" t="s">
        <v>394</v>
      </c>
      <c r="D80" s="1" t="s">
        <v>395</v>
      </c>
      <c r="E80" s="1" t="s">
        <v>396</v>
      </c>
      <c r="F80" s="1" t="s">
        <v>397</v>
      </c>
      <c r="G80" s="1" t="n">
        <v>36532</v>
      </c>
      <c r="H80" s="1" t="s">
        <v>252</v>
      </c>
      <c r="I80" s="1" t="n">
        <v>0</v>
      </c>
      <c r="J80" s="1" t="n">
        <v>0</v>
      </c>
      <c r="K80" s="1" t="n">
        <v>0</v>
      </c>
      <c r="L80" s="1" t="n">
        <v>2</v>
      </c>
      <c r="M80" s="1" t="n">
        <v>28177</v>
      </c>
      <c r="N80" s="1" t="n">
        <v>0</v>
      </c>
      <c r="O80" s="1" t="n">
        <v>1</v>
      </c>
      <c r="P80" s="1" t="n">
        <v>43670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603554</v>
      </c>
      <c r="Y80" s="1" t="s">
        <v>269</v>
      </c>
      <c r="Z80" s="1" t="n">
        <v>1227.21</v>
      </c>
      <c r="AA80" s="1" t="n">
        <v>31.4</v>
      </c>
      <c r="AB80" s="1" t="n">
        <v>6</v>
      </c>
      <c r="AC80" s="1" t="n">
        <v>39314</v>
      </c>
      <c r="AD80" s="7" t="n">
        <f aca="false">X80/12</f>
        <v>50296.1666666667</v>
      </c>
      <c r="AE80" s="8" t="n">
        <f aca="false">Z80/AD80</f>
        <v>0.0243996726059309</v>
      </c>
      <c r="AF80" s="1" t="s">
        <v>151</v>
      </c>
    </row>
    <row r="81" s="3" customFormat="true" ht="16" hidden="false" customHeight="false" outlineLevel="0" collapsed="false">
      <c r="A81" s="1" t="n">
        <v>80</v>
      </c>
      <c r="B81" s="1" t="s">
        <v>398</v>
      </c>
      <c r="C81" s="1" t="s">
        <v>399</v>
      </c>
      <c r="D81" s="1" t="s">
        <v>400</v>
      </c>
      <c r="E81" s="1" t="s">
        <v>401</v>
      </c>
      <c r="F81" s="1" t="s">
        <v>123</v>
      </c>
      <c r="G81" s="1" t="n">
        <v>17201</v>
      </c>
      <c r="H81" s="1" t="s">
        <v>43</v>
      </c>
      <c r="I81" s="1" t="n">
        <v>0</v>
      </c>
      <c r="J81" s="1" t="n">
        <v>0</v>
      </c>
      <c r="K81" s="1" t="n">
        <v>0</v>
      </c>
      <c r="L81" s="1" t="n">
        <v>10</v>
      </c>
      <c r="M81" s="1" t="n">
        <v>378271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1</v>
      </c>
      <c r="S81" s="1" t="n">
        <v>773454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1915390</v>
      </c>
      <c r="Y81" s="1" t="s">
        <v>44</v>
      </c>
      <c r="Z81" s="1" t="n">
        <v>19952.09</v>
      </c>
      <c r="AA81" s="1" t="n">
        <v>13.5</v>
      </c>
      <c r="AB81" s="1" t="n">
        <v>62</v>
      </c>
      <c r="AC81" s="1" t="n">
        <v>767074</v>
      </c>
      <c r="AD81" s="7" t="n">
        <f aca="false">X81/12</f>
        <v>159615.833333333</v>
      </c>
      <c r="AE81" s="8" t="n">
        <f aca="false">Z81/AD81</f>
        <v>0.125000694375558</v>
      </c>
      <c r="AF81" s="1" t="s">
        <v>151</v>
      </c>
    </row>
    <row r="82" s="3" customFormat="true" ht="16" hidden="false" customHeight="false" outlineLevel="0" collapsed="false">
      <c r="A82" s="1" t="n">
        <v>81</v>
      </c>
      <c r="B82" s="1" t="s">
        <v>402</v>
      </c>
      <c r="C82" s="1" t="s">
        <v>403</v>
      </c>
      <c r="D82" s="1" t="s">
        <v>404</v>
      </c>
      <c r="E82" s="1" t="s">
        <v>405</v>
      </c>
      <c r="F82" s="1" t="s">
        <v>98</v>
      </c>
      <c r="G82" s="1" t="n">
        <v>11413</v>
      </c>
      <c r="H82" s="1" t="s">
        <v>108</v>
      </c>
      <c r="I82" s="1" t="n">
        <v>0</v>
      </c>
      <c r="J82" s="1" t="n">
        <v>0</v>
      </c>
      <c r="K82" s="1" t="n">
        <v>0</v>
      </c>
      <c r="L82" s="1" t="n">
        <v>9</v>
      </c>
      <c r="M82" s="1" t="n">
        <v>35549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1</v>
      </c>
      <c r="S82" s="1" t="n">
        <v>273438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741228</v>
      </c>
      <c r="Y82" s="1" t="s">
        <v>156</v>
      </c>
      <c r="Z82" s="1" t="n">
        <v>10871.23</v>
      </c>
      <c r="AA82" s="1" t="n">
        <v>30.3</v>
      </c>
      <c r="AB82" s="1" t="n">
        <v>18</v>
      </c>
      <c r="AC82" s="1" t="n">
        <v>260458</v>
      </c>
      <c r="AD82" s="7" t="n">
        <f aca="false">X82/12</f>
        <v>61769</v>
      </c>
      <c r="AE82" s="8" t="n">
        <f aca="false">Z82/AD82</f>
        <v>0.175998154414026</v>
      </c>
      <c r="AF82" s="1" t="s">
        <v>151</v>
      </c>
    </row>
    <row r="83" s="3" customFormat="true" ht="16" hidden="false" customHeight="false" outlineLevel="0" collapsed="false">
      <c r="A83" s="1" t="n">
        <v>82</v>
      </c>
      <c r="B83" s="1" t="s">
        <v>406</v>
      </c>
      <c r="C83" s="1" t="s">
        <v>407</v>
      </c>
      <c r="D83" s="1" t="s">
        <v>408</v>
      </c>
      <c r="E83" s="1" t="s">
        <v>409</v>
      </c>
      <c r="F83" s="1" t="s">
        <v>353</v>
      </c>
      <c r="G83" s="1" t="n">
        <v>50265</v>
      </c>
      <c r="H83" s="1" t="s">
        <v>149</v>
      </c>
      <c r="I83" s="1" t="n">
        <v>0</v>
      </c>
      <c r="J83" s="1" t="n">
        <v>0</v>
      </c>
      <c r="K83" s="1" t="n">
        <v>0</v>
      </c>
      <c r="L83" s="1" t="n">
        <v>12</v>
      </c>
      <c r="M83" s="1" t="n">
        <v>10279</v>
      </c>
      <c r="N83" s="1" t="n">
        <v>0</v>
      </c>
      <c r="O83" s="1" t="n">
        <v>1</v>
      </c>
      <c r="P83" s="1" t="n">
        <v>224224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871416</v>
      </c>
      <c r="Y83" s="1" t="s">
        <v>200</v>
      </c>
      <c r="Z83" s="1" t="n">
        <v>10631.26</v>
      </c>
      <c r="AA83" s="1" t="n">
        <v>14</v>
      </c>
      <c r="AB83" s="1" t="n">
        <v>12</v>
      </c>
      <c r="AC83" s="1" t="n">
        <v>228976</v>
      </c>
      <c r="AD83" s="7" t="n">
        <f aca="false">X83/12</f>
        <v>72618</v>
      </c>
      <c r="AE83" s="8" t="n">
        <f aca="false">Z83/AD83</f>
        <v>0.146399790685505</v>
      </c>
      <c r="AF83" s="1" t="s">
        <v>170</v>
      </c>
    </row>
    <row r="84" s="3" customFormat="true" ht="16" hidden="false" customHeight="false" outlineLevel="0" collapsed="false">
      <c r="A84" s="1" t="n">
        <v>83</v>
      </c>
      <c r="B84" s="1" t="s">
        <v>410</v>
      </c>
      <c r="C84" s="1" t="s">
        <v>411</v>
      </c>
      <c r="D84" s="1" t="s">
        <v>412</v>
      </c>
      <c r="E84" s="1" t="s">
        <v>413</v>
      </c>
      <c r="F84" s="1" t="s">
        <v>139</v>
      </c>
      <c r="G84" s="1" t="n">
        <v>48035</v>
      </c>
      <c r="H84" s="1" t="s">
        <v>149</v>
      </c>
      <c r="I84" s="1" t="n">
        <v>1</v>
      </c>
      <c r="J84" s="1" t="n">
        <v>129998</v>
      </c>
      <c r="K84" s="1" t="n">
        <v>0</v>
      </c>
      <c r="L84" s="1" t="n">
        <v>11</v>
      </c>
      <c r="M84" s="1" t="n">
        <v>28671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1890025</v>
      </c>
      <c r="Y84" s="1" t="s">
        <v>71</v>
      </c>
      <c r="Z84" s="1" t="n">
        <v>18585.23</v>
      </c>
      <c r="AA84" s="1" t="n">
        <v>27.2</v>
      </c>
      <c r="AB84" s="1" t="n">
        <v>46</v>
      </c>
      <c r="AC84" s="1" t="n">
        <v>706288</v>
      </c>
      <c r="AD84" s="7" t="n">
        <f aca="false">X84/12</f>
        <v>157502.083333333</v>
      </c>
      <c r="AE84" s="8" t="n">
        <f aca="false">Z84/AD84</f>
        <v>0.117999899472229</v>
      </c>
      <c r="AF84" s="1" t="s">
        <v>151</v>
      </c>
    </row>
    <row r="85" s="3" customFormat="true" ht="16" hidden="false" customHeight="false" outlineLevel="0" collapsed="false">
      <c r="A85" s="1" t="n">
        <v>84</v>
      </c>
      <c r="B85" s="1" t="s">
        <v>206</v>
      </c>
      <c r="C85" s="1" t="s">
        <v>414</v>
      </c>
      <c r="D85" s="1" t="s">
        <v>415</v>
      </c>
      <c r="E85" s="1" t="s">
        <v>416</v>
      </c>
      <c r="F85" s="1" t="s">
        <v>42</v>
      </c>
      <c r="G85" s="1" t="n">
        <v>8060</v>
      </c>
      <c r="H85" s="1" t="s">
        <v>149</v>
      </c>
      <c r="I85" s="1" t="n">
        <v>1</v>
      </c>
      <c r="J85" s="1" t="n">
        <v>78738</v>
      </c>
      <c r="K85" s="1" t="n">
        <v>0</v>
      </c>
      <c r="L85" s="1" t="n">
        <v>10</v>
      </c>
      <c r="M85" s="1" t="n">
        <v>55632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262276</v>
      </c>
      <c r="Y85" s="1" t="s">
        <v>269</v>
      </c>
      <c r="Z85" s="1" t="n">
        <v>3584.35</v>
      </c>
      <c r="AA85" s="1" t="n">
        <v>13.6</v>
      </c>
      <c r="AB85" s="1" t="n">
        <v>0</v>
      </c>
      <c r="AC85" s="1" t="n">
        <v>156750</v>
      </c>
      <c r="AD85" s="7" t="n">
        <f aca="false">X85/12</f>
        <v>21856.3333333333</v>
      </c>
      <c r="AE85" s="8" t="n">
        <f aca="false">Z85/AD85</f>
        <v>0.163995943204868</v>
      </c>
      <c r="AF85" s="1" t="s">
        <v>151</v>
      </c>
    </row>
    <row r="86" s="3" customFormat="true" ht="16" hidden="false" customHeight="false" outlineLevel="0" collapsed="false">
      <c r="A86" s="1" t="n">
        <v>85</v>
      </c>
      <c r="B86" s="1" t="s">
        <v>417</v>
      </c>
      <c r="C86" s="1" t="s">
        <v>418</v>
      </c>
      <c r="D86" s="1" t="s">
        <v>419</v>
      </c>
      <c r="E86" s="1" t="s">
        <v>420</v>
      </c>
      <c r="F86" s="1" t="s">
        <v>209</v>
      </c>
      <c r="G86" s="1" t="n">
        <v>46077</v>
      </c>
      <c r="H86" s="1" t="s">
        <v>149</v>
      </c>
      <c r="I86" s="1" t="n">
        <v>1</v>
      </c>
      <c r="J86" s="1" t="n">
        <v>217844</v>
      </c>
      <c r="K86" s="1" t="n">
        <v>0</v>
      </c>
      <c r="L86" s="1" t="n">
        <v>6</v>
      </c>
      <c r="M86" s="1" t="n">
        <v>42579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1128828</v>
      </c>
      <c r="Y86" s="1" t="s">
        <v>150</v>
      </c>
      <c r="Z86" s="1" t="n">
        <v>8974.27</v>
      </c>
      <c r="AA86" s="1" t="n">
        <v>13</v>
      </c>
      <c r="AB86" s="1" t="n">
        <v>21</v>
      </c>
      <c r="AC86" s="1" t="n">
        <v>278520</v>
      </c>
      <c r="AD86" s="7" t="n">
        <f aca="false">X86/12</f>
        <v>94069</v>
      </c>
      <c r="AE86" s="8" t="n">
        <f aca="false">Z86/AD86</f>
        <v>0.0954009291052313</v>
      </c>
      <c r="AF86" s="1" t="s">
        <v>151</v>
      </c>
    </row>
    <row r="87" s="3" customFormat="true" ht="16" hidden="false" customHeight="false" outlineLevel="0" collapsed="false">
      <c r="A87" s="1" t="n">
        <v>86</v>
      </c>
      <c r="B87" s="1" t="s">
        <v>421</v>
      </c>
      <c r="C87" s="1" t="s">
        <v>422</v>
      </c>
      <c r="D87" s="1" t="s">
        <v>423</v>
      </c>
      <c r="E87" s="1" t="s">
        <v>424</v>
      </c>
      <c r="F87" s="1" t="s">
        <v>36</v>
      </c>
      <c r="G87" s="1" t="n">
        <v>20175</v>
      </c>
      <c r="H87" s="1" t="s">
        <v>43</v>
      </c>
      <c r="I87" s="1" t="n">
        <v>0</v>
      </c>
      <c r="J87" s="1" t="n">
        <v>0</v>
      </c>
      <c r="K87" s="1" t="n">
        <v>0</v>
      </c>
      <c r="L87" s="1" t="n">
        <v>9</v>
      </c>
      <c r="M87" s="1" t="n">
        <v>84968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1</v>
      </c>
      <c r="S87" s="1" t="n">
        <v>223850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1726929</v>
      </c>
      <c r="Y87" s="1" t="s">
        <v>150</v>
      </c>
      <c r="Z87" s="1" t="n">
        <v>14678.83</v>
      </c>
      <c r="AA87" s="1" t="n">
        <v>16.8</v>
      </c>
      <c r="AB87" s="1" t="n">
        <v>17</v>
      </c>
      <c r="AC87" s="1" t="n">
        <v>115456</v>
      </c>
      <c r="AD87" s="7" t="n">
        <f aca="false">X87/12</f>
        <v>143910.75</v>
      </c>
      <c r="AE87" s="8" t="n">
        <f aca="false">Z87/AD87</f>
        <v>0.101999537908044</v>
      </c>
      <c r="AF87" s="1" t="s">
        <v>151</v>
      </c>
    </row>
    <row r="88" s="3" customFormat="true" ht="16" hidden="false" customHeight="false" outlineLevel="0" collapsed="false">
      <c r="A88" s="1" t="n">
        <v>87</v>
      </c>
      <c r="B88" s="1" t="s">
        <v>425</v>
      </c>
      <c r="C88" s="1" t="s">
        <v>426</v>
      </c>
      <c r="D88" s="1" t="s">
        <v>427</v>
      </c>
      <c r="E88" s="1" t="s">
        <v>428</v>
      </c>
      <c r="F88" s="1" t="s">
        <v>348</v>
      </c>
      <c r="G88" s="1" t="n">
        <v>26003</v>
      </c>
      <c r="H88" s="1" t="s">
        <v>43</v>
      </c>
      <c r="I88" s="1" t="n">
        <v>1</v>
      </c>
      <c r="J88" s="1" t="n">
        <v>134024</v>
      </c>
      <c r="K88" s="1" t="n">
        <v>0</v>
      </c>
      <c r="L88" s="1" t="n">
        <v>10</v>
      </c>
      <c r="M88" s="1" t="n">
        <v>18031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972249</v>
      </c>
      <c r="Y88" s="1" t="s">
        <v>269</v>
      </c>
      <c r="Z88" s="1" t="n">
        <v>9957.52</v>
      </c>
      <c r="AA88" s="1" t="n">
        <v>20.7</v>
      </c>
      <c r="AB88" s="1" t="n">
        <v>15</v>
      </c>
      <c r="AC88" s="1" t="n">
        <v>85228</v>
      </c>
      <c r="AD88" s="7" t="n">
        <f aca="false">X88/12</f>
        <v>81020.75</v>
      </c>
      <c r="AE88" s="8" t="n">
        <f aca="false">Z88/AD88</f>
        <v>0.122900861816263</v>
      </c>
      <c r="AF88" s="1" t="s">
        <v>151</v>
      </c>
    </row>
    <row r="89" s="3" customFormat="true" ht="16" hidden="false" customHeight="false" outlineLevel="0" collapsed="false">
      <c r="A89" s="1" t="n">
        <v>88</v>
      </c>
      <c r="B89" s="1" t="s">
        <v>429</v>
      </c>
      <c r="C89" s="1" t="s">
        <v>430</v>
      </c>
      <c r="D89" s="1" t="s">
        <v>431</v>
      </c>
      <c r="E89" s="1" t="s">
        <v>432</v>
      </c>
      <c r="F89" s="1" t="s">
        <v>286</v>
      </c>
      <c r="G89" s="1" t="n">
        <v>6066</v>
      </c>
      <c r="H89" s="1" t="s">
        <v>149</v>
      </c>
      <c r="I89" s="1" t="n">
        <v>0</v>
      </c>
      <c r="J89" s="1" t="n">
        <v>0</v>
      </c>
      <c r="K89" s="1" t="n">
        <v>0</v>
      </c>
      <c r="L89" s="1" t="n">
        <v>5</v>
      </c>
      <c r="M89" s="1" t="n">
        <v>45410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1</v>
      </c>
      <c r="V89" s="1" t="n">
        <v>61578</v>
      </c>
      <c r="W89" s="1" t="n">
        <v>0</v>
      </c>
      <c r="X89" s="1" t="n">
        <v>860738</v>
      </c>
      <c r="Y89" s="1" t="s">
        <v>200</v>
      </c>
      <c r="Z89" s="1" t="n">
        <v>2524.72</v>
      </c>
      <c r="AA89" s="1" t="n">
        <v>18.7</v>
      </c>
      <c r="AB89" s="1" t="n">
        <v>44</v>
      </c>
      <c r="AC89" s="1" t="n">
        <v>171248</v>
      </c>
      <c r="AD89" s="7" t="n">
        <f aca="false">X89/12</f>
        <v>71728.1666666667</v>
      </c>
      <c r="AE89" s="8" t="n">
        <f aca="false">Z89/AD89</f>
        <v>0.0351984459847247</v>
      </c>
      <c r="AF89" s="1" t="s">
        <v>170</v>
      </c>
    </row>
    <row r="90" s="3" customFormat="true" ht="16" hidden="false" customHeight="false" outlineLevel="0" collapsed="false">
      <c r="A90" s="1" t="n">
        <v>89</v>
      </c>
      <c r="B90" s="1" t="s">
        <v>433</v>
      </c>
      <c r="C90" s="1" t="s">
        <v>434</v>
      </c>
      <c r="D90" s="1" t="s">
        <v>435</v>
      </c>
      <c r="E90" s="1" t="s">
        <v>436</v>
      </c>
      <c r="F90" s="1" t="s">
        <v>129</v>
      </c>
      <c r="G90" s="1" t="n">
        <v>38053</v>
      </c>
      <c r="H90" s="1" t="s">
        <v>108</v>
      </c>
      <c r="I90" s="1" t="n">
        <v>0</v>
      </c>
      <c r="J90" s="1" t="n">
        <v>0</v>
      </c>
      <c r="K90" s="1" t="n">
        <v>0</v>
      </c>
      <c r="L90" s="1" t="n">
        <v>11</v>
      </c>
      <c r="M90" s="1" t="n">
        <v>113354</v>
      </c>
      <c r="N90" s="1" t="n">
        <v>0</v>
      </c>
      <c r="O90" s="1" t="n">
        <v>1</v>
      </c>
      <c r="P90" s="1" t="n">
        <v>759000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2996528</v>
      </c>
      <c r="Y90" s="1" t="s">
        <v>165</v>
      </c>
      <c r="Z90" s="1" t="n">
        <v>33461.28</v>
      </c>
      <c r="AA90" s="1" t="n">
        <v>20.9</v>
      </c>
      <c r="AB90" s="1" t="n">
        <v>2</v>
      </c>
      <c r="AC90" s="1" t="n">
        <v>486156</v>
      </c>
      <c r="AD90" s="7" t="n">
        <f aca="false">X90/12</f>
        <v>249710.666666667</v>
      </c>
      <c r="AE90" s="8" t="n">
        <f aca="false">Z90/AD90</f>
        <v>0.134000202901491</v>
      </c>
      <c r="AF90" s="1" t="s">
        <v>151</v>
      </c>
    </row>
    <row r="91" s="3" customFormat="true" ht="16" hidden="false" customHeight="false" outlineLevel="0" collapsed="false">
      <c r="A91" s="1" t="n">
        <v>90</v>
      </c>
      <c r="B91" s="1" t="s">
        <v>437</v>
      </c>
      <c r="C91" s="1" t="s">
        <v>438</v>
      </c>
      <c r="D91" s="1" t="s">
        <v>439</v>
      </c>
      <c r="E91" s="1" t="s">
        <v>440</v>
      </c>
      <c r="F91" s="1" t="s">
        <v>129</v>
      </c>
      <c r="G91" s="1" t="n">
        <v>37830</v>
      </c>
      <c r="H91" s="1" t="s">
        <v>43</v>
      </c>
      <c r="I91" s="1" t="n">
        <v>0</v>
      </c>
      <c r="J91" s="1" t="n">
        <v>0</v>
      </c>
      <c r="K91" s="1" t="n">
        <v>0</v>
      </c>
      <c r="L91" s="1" t="n">
        <v>11</v>
      </c>
      <c r="M91" s="1" t="n">
        <v>27455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1</v>
      </c>
      <c r="V91" s="1" t="n">
        <v>112662</v>
      </c>
      <c r="W91" s="1" t="n">
        <v>0</v>
      </c>
      <c r="X91" s="1" t="n">
        <v>1809769</v>
      </c>
      <c r="Y91" s="1" t="s">
        <v>192</v>
      </c>
      <c r="Z91" s="1" t="n">
        <v>11054.77</v>
      </c>
      <c r="AA91" s="1" t="n">
        <v>33.6</v>
      </c>
      <c r="AB91" s="1" t="n">
        <v>49</v>
      </c>
      <c r="AC91" s="1" t="n">
        <v>258500</v>
      </c>
      <c r="AD91" s="7" t="n">
        <f aca="false">X91/12</f>
        <v>150814.083333333</v>
      </c>
      <c r="AE91" s="8" t="n">
        <f aca="false">Z91/AD91</f>
        <v>0.0733006477622282</v>
      </c>
      <c r="AF91" s="1" t="s">
        <v>170</v>
      </c>
    </row>
    <row r="92" s="3" customFormat="true" ht="16" hidden="false" customHeight="false" outlineLevel="0" collapsed="false">
      <c r="A92" s="1" t="n">
        <v>91</v>
      </c>
      <c r="B92" s="1" t="s">
        <v>441</v>
      </c>
      <c r="C92" s="1" t="s">
        <v>442</v>
      </c>
      <c r="D92" s="1" t="s">
        <v>443</v>
      </c>
      <c r="E92" s="1" t="s">
        <v>444</v>
      </c>
      <c r="F92" s="1" t="s">
        <v>69</v>
      </c>
      <c r="G92" s="1" t="n">
        <v>60103</v>
      </c>
      <c r="H92" s="1" t="s">
        <v>43</v>
      </c>
      <c r="I92" s="1" t="n">
        <v>0</v>
      </c>
      <c r="J92" s="1" t="n">
        <v>0</v>
      </c>
      <c r="K92" s="1" t="n">
        <v>0</v>
      </c>
      <c r="L92" s="1" t="n">
        <v>15</v>
      </c>
      <c r="M92" s="1" t="n">
        <v>80655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1</v>
      </c>
      <c r="S92" s="1" t="n">
        <v>70884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956555</v>
      </c>
      <c r="Y92" s="1" t="s">
        <v>165</v>
      </c>
      <c r="Z92" s="1" t="n">
        <v>12833.74</v>
      </c>
      <c r="AA92" s="1" t="n">
        <v>14.1</v>
      </c>
      <c r="AB92" s="1" t="n">
        <v>19</v>
      </c>
      <c r="AC92" s="1" t="n">
        <v>177210</v>
      </c>
      <c r="AD92" s="7" t="n">
        <f aca="false">X92/12</f>
        <v>79712.9166666667</v>
      </c>
      <c r="AE92" s="8" t="n">
        <f aca="false">Z92/AD92</f>
        <v>0.160999503426358</v>
      </c>
      <c r="AF92" s="1" t="s">
        <v>151</v>
      </c>
    </row>
    <row r="93" s="3" customFormat="true" ht="16" hidden="false" customHeight="false" outlineLevel="0" collapsed="false">
      <c r="A93" s="1" t="n">
        <v>92</v>
      </c>
      <c r="B93" s="1" t="s">
        <v>445</v>
      </c>
      <c r="C93" s="1" t="s">
        <v>446</v>
      </c>
      <c r="D93" s="1" t="s">
        <v>447</v>
      </c>
      <c r="E93" s="1" t="s">
        <v>448</v>
      </c>
      <c r="F93" s="1" t="s">
        <v>449</v>
      </c>
      <c r="G93" s="1" t="n">
        <v>98607</v>
      </c>
      <c r="H93" s="1" t="s">
        <v>149</v>
      </c>
      <c r="I93" s="1" t="n">
        <v>0</v>
      </c>
      <c r="J93" s="1" t="n">
        <v>0</v>
      </c>
      <c r="K93" s="1" t="n">
        <v>0</v>
      </c>
      <c r="L93" s="1" t="n">
        <v>7</v>
      </c>
      <c r="M93" s="1" t="n">
        <v>82289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1</v>
      </c>
      <c r="S93" s="1" t="n">
        <v>198858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1183073</v>
      </c>
      <c r="Y93" s="1" t="s">
        <v>192</v>
      </c>
      <c r="Z93" s="1" t="n">
        <v>8547.72</v>
      </c>
      <c r="AA93" s="1" t="n">
        <v>17</v>
      </c>
      <c r="AB93" s="1" t="n">
        <v>24</v>
      </c>
      <c r="AC93" s="1" t="n">
        <v>209858</v>
      </c>
      <c r="AD93" s="7" t="n">
        <f aca="false">X93/12</f>
        <v>98589.4166666667</v>
      </c>
      <c r="AE93" s="8" t="n">
        <f aca="false">Z93/AD93</f>
        <v>0.0867001782645703</v>
      </c>
      <c r="AF93" s="1" t="s">
        <v>151</v>
      </c>
    </row>
    <row r="94" s="3" customFormat="true" ht="16" hidden="false" customHeight="false" outlineLevel="0" collapsed="false">
      <c r="A94" s="1" t="n">
        <v>93</v>
      </c>
      <c r="B94" s="1" t="s">
        <v>450</v>
      </c>
      <c r="C94" s="1" t="s">
        <v>451</v>
      </c>
      <c r="D94" s="1" t="s">
        <v>452</v>
      </c>
      <c r="E94" s="1" t="s">
        <v>453</v>
      </c>
      <c r="F94" s="1" t="s">
        <v>454</v>
      </c>
      <c r="G94" s="1" t="n">
        <v>42240</v>
      </c>
      <c r="H94" s="1" t="s">
        <v>149</v>
      </c>
      <c r="I94" s="1" t="n">
        <v>0</v>
      </c>
      <c r="J94" s="1" t="n">
        <v>0</v>
      </c>
      <c r="K94" s="1" t="n">
        <v>0</v>
      </c>
      <c r="L94" s="1" t="n">
        <v>5</v>
      </c>
      <c r="M94" s="1" t="n">
        <v>174021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1</v>
      </c>
      <c r="V94" s="1" t="n">
        <v>37224</v>
      </c>
      <c r="W94" s="1" t="n">
        <v>0</v>
      </c>
      <c r="X94" s="1" t="n">
        <v>1191015</v>
      </c>
      <c r="Y94" s="1" t="s">
        <v>156</v>
      </c>
      <c r="Z94" s="1" t="n">
        <v>12138.53</v>
      </c>
      <c r="AA94" s="1" t="n">
        <v>24</v>
      </c>
      <c r="AB94" s="1" t="n">
        <v>31</v>
      </c>
      <c r="AC94" s="1" t="n">
        <v>223388</v>
      </c>
      <c r="AD94" s="7" t="n">
        <f aca="false">X94/12</f>
        <v>99251.25</v>
      </c>
      <c r="AE94" s="8" t="n">
        <f aca="false">Z94/AD94</f>
        <v>0.122301028954295</v>
      </c>
      <c r="AF94" s="1" t="s">
        <v>151</v>
      </c>
    </row>
    <row r="95" s="3" customFormat="true" ht="16" hidden="false" customHeight="false" outlineLevel="0" collapsed="false">
      <c r="A95" s="1" t="n">
        <v>94</v>
      </c>
      <c r="B95" s="1" t="s">
        <v>455</v>
      </c>
      <c r="C95" s="1" t="s">
        <v>456</v>
      </c>
      <c r="D95" s="1" t="s">
        <v>457</v>
      </c>
      <c r="E95" s="1" t="s">
        <v>458</v>
      </c>
      <c r="F95" s="1" t="s">
        <v>177</v>
      </c>
      <c r="G95" s="1" t="n">
        <v>28052</v>
      </c>
      <c r="H95" s="1" t="s">
        <v>43</v>
      </c>
      <c r="I95" s="1" t="n">
        <v>0</v>
      </c>
      <c r="J95" s="1" t="n">
        <v>0</v>
      </c>
      <c r="K95" s="1" t="n">
        <v>0</v>
      </c>
      <c r="L95" s="1" t="n">
        <v>12</v>
      </c>
      <c r="M95" s="1" t="n">
        <v>144609</v>
      </c>
      <c r="N95" s="1" t="n">
        <v>0</v>
      </c>
      <c r="O95" s="1" t="n">
        <v>1</v>
      </c>
      <c r="P95" s="1" t="n">
        <v>122298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1440390</v>
      </c>
      <c r="Y95" s="1" t="s">
        <v>200</v>
      </c>
      <c r="Z95" s="1" t="n">
        <v>13923.77</v>
      </c>
      <c r="AA95" s="1" t="n">
        <v>12.3</v>
      </c>
      <c r="AB95" s="1" t="n">
        <v>48</v>
      </c>
      <c r="AC95" s="1" t="n">
        <v>386716</v>
      </c>
      <c r="AD95" s="7" t="n">
        <f aca="false">X95/12</f>
        <v>120032.5</v>
      </c>
      <c r="AE95" s="8" t="n">
        <f aca="false">Z95/AD95</f>
        <v>0.116</v>
      </c>
      <c r="AF95" s="1" t="s">
        <v>151</v>
      </c>
    </row>
    <row r="96" s="3" customFormat="true" ht="16" hidden="false" customHeight="false" outlineLevel="0" collapsed="false">
      <c r="A96" s="1" t="n">
        <v>95</v>
      </c>
      <c r="B96" s="1" t="s">
        <v>459</v>
      </c>
      <c r="C96" s="1" t="s">
        <v>460</v>
      </c>
      <c r="D96" s="1" t="s">
        <v>461</v>
      </c>
      <c r="E96" s="1" t="s">
        <v>462</v>
      </c>
      <c r="F96" s="1" t="s">
        <v>42</v>
      </c>
      <c r="G96" s="1" t="n">
        <v>7060</v>
      </c>
      <c r="H96" s="1" t="s">
        <v>76</v>
      </c>
      <c r="I96" s="1" t="n">
        <v>0</v>
      </c>
      <c r="J96" s="1" t="n">
        <v>0</v>
      </c>
      <c r="K96" s="1" t="n">
        <v>0</v>
      </c>
      <c r="L96" s="1" t="n">
        <v>7</v>
      </c>
      <c r="M96" s="1" t="n">
        <v>66918</v>
      </c>
      <c r="N96" s="1" t="n">
        <v>1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1</v>
      </c>
      <c r="V96" s="1" t="n">
        <v>175604</v>
      </c>
      <c r="W96" s="1" t="n">
        <v>0</v>
      </c>
      <c r="X96" s="1" t="n">
        <v>1099473</v>
      </c>
      <c r="Y96" s="1" t="s">
        <v>51</v>
      </c>
      <c r="Z96" s="1" t="n">
        <v>13559.92</v>
      </c>
      <c r="AA96" s="1" t="n">
        <v>14.3</v>
      </c>
      <c r="AB96" s="1" t="n">
        <v>9</v>
      </c>
      <c r="AC96" s="1" t="n">
        <v>136180</v>
      </c>
      <c r="AD96" s="7" t="n">
        <f aca="false">X96/12</f>
        <v>91622.75</v>
      </c>
      <c r="AE96" s="8" t="n">
        <f aca="false">Z96/AD96</f>
        <v>0.147997304162994</v>
      </c>
      <c r="AF96" s="1" t="s">
        <v>170</v>
      </c>
    </row>
    <row r="97" s="3" customFormat="true" ht="16" hidden="false" customHeight="false" outlineLevel="0" collapsed="false">
      <c r="A97" s="1" t="n">
        <v>96</v>
      </c>
      <c r="B97" s="1" t="s">
        <v>463</v>
      </c>
      <c r="C97" s="1" t="s">
        <v>464</v>
      </c>
      <c r="D97" s="1" t="s">
        <v>465</v>
      </c>
      <c r="E97" s="1" t="s">
        <v>466</v>
      </c>
      <c r="F97" s="1" t="s">
        <v>183</v>
      </c>
      <c r="G97" s="1" t="n">
        <v>56001</v>
      </c>
      <c r="H97" s="1" t="s">
        <v>43</v>
      </c>
      <c r="I97" s="1" t="n">
        <v>0</v>
      </c>
      <c r="J97" s="1" t="n">
        <v>0</v>
      </c>
      <c r="K97" s="1" t="n">
        <v>0</v>
      </c>
      <c r="L97" s="1" t="n">
        <v>3</v>
      </c>
      <c r="M97" s="1" t="n">
        <v>183844</v>
      </c>
      <c r="N97" s="1" t="n">
        <v>0</v>
      </c>
      <c r="O97" s="1" t="n">
        <v>1</v>
      </c>
      <c r="P97" s="1" t="n">
        <v>112332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892525</v>
      </c>
      <c r="Y97" s="1" t="s">
        <v>269</v>
      </c>
      <c r="Z97" s="1" t="n">
        <v>8597.88</v>
      </c>
      <c r="AA97" s="1" t="n">
        <v>22.3</v>
      </c>
      <c r="AB97" s="1" t="n">
        <v>62</v>
      </c>
      <c r="AC97" s="1" t="n">
        <v>231374</v>
      </c>
      <c r="AD97" s="7" t="n">
        <f aca="false">X97/12</f>
        <v>74377.0833333333</v>
      </c>
      <c r="AE97" s="8" t="n">
        <f aca="false">Z97/AD97</f>
        <v>0.115598509845663</v>
      </c>
      <c r="AF97" s="1" t="s">
        <v>170</v>
      </c>
    </row>
    <row r="98" s="3" customFormat="true" ht="16" hidden="false" customHeight="false" outlineLevel="0" collapsed="false">
      <c r="A98" s="1" t="n">
        <v>97</v>
      </c>
      <c r="B98" s="1" t="s">
        <v>467</v>
      </c>
      <c r="C98" s="1" t="s">
        <v>78</v>
      </c>
      <c r="D98" s="1" t="s">
        <v>468</v>
      </c>
      <c r="E98" s="1" t="s">
        <v>469</v>
      </c>
      <c r="F98" s="1" t="s">
        <v>42</v>
      </c>
      <c r="G98" s="1" t="n">
        <v>8520</v>
      </c>
      <c r="H98" s="1" t="s">
        <v>43</v>
      </c>
      <c r="I98" s="1" t="n">
        <v>0</v>
      </c>
      <c r="J98" s="1" t="n">
        <v>0</v>
      </c>
      <c r="K98" s="1" t="n">
        <v>0</v>
      </c>
      <c r="L98" s="1" t="n">
        <v>6</v>
      </c>
      <c r="M98" s="1" t="n">
        <v>53067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1</v>
      </c>
      <c r="V98" s="1" t="n">
        <v>138908</v>
      </c>
      <c r="W98" s="1" t="n">
        <v>0</v>
      </c>
      <c r="X98" s="1" t="n">
        <v>466830</v>
      </c>
      <c r="Y98" s="1" t="s">
        <v>71</v>
      </c>
      <c r="Z98" s="1" t="n">
        <v>1400.49</v>
      </c>
      <c r="AA98" s="1" t="n">
        <v>11.8</v>
      </c>
      <c r="AB98" s="1" t="n">
        <v>61</v>
      </c>
      <c r="AC98" s="1" t="n">
        <v>196944</v>
      </c>
      <c r="AD98" s="7" t="n">
        <f aca="false">X98/12</f>
        <v>38902.5</v>
      </c>
      <c r="AE98" s="8" t="n">
        <f aca="false">Z98/AD98</f>
        <v>0.036</v>
      </c>
      <c r="AF98" s="1" t="s">
        <v>151</v>
      </c>
    </row>
    <row r="99" s="3" customFormat="true" ht="16" hidden="false" customHeight="false" outlineLevel="0" collapsed="false">
      <c r="A99" s="1" t="n">
        <v>98</v>
      </c>
      <c r="B99" s="1" t="s">
        <v>470</v>
      </c>
      <c r="C99" s="1" t="s">
        <v>471</v>
      </c>
      <c r="D99" s="1" t="s">
        <v>472</v>
      </c>
      <c r="E99" s="1" t="s">
        <v>473</v>
      </c>
      <c r="F99" s="1" t="s">
        <v>123</v>
      </c>
      <c r="G99" s="1" t="n">
        <v>15317</v>
      </c>
      <c r="H99" s="1" t="s">
        <v>43</v>
      </c>
      <c r="I99" s="1" t="n">
        <v>0</v>
      </c>
      <c r="J99" s="1" t="n">
        <v>0</v>
      </c>
      <c r="K99" s="1" t="n">
        <v>0</v>
      </c>
      <c r="L99" s="1" t="n">
        <v>13</v>
      </c>
      <c r="M99" s="1" t="n">
        <v>89015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1</v>
      </c>
      <c r="V99" s="1" t="n">
        <v>250888</v>
      </c>
      <c r="W99" s="1" t="n">
        <v>0</v>
      </c>
      <c r="X99" s="1" t="n">
        <v>1040060</v>
      </c>
      <c r="Y99" s="1" t="s">
        <v>156</v>
      </c>
      <c r="Z99" s="1" t="n">
        <v>19761.14</v>
      </c>
      <c r="AA99" s="1" t="n">
        <v>12</v>
      </c>
      <c r="AB99" s="1" t="n">
        <v>18</v>
      </c>
      <c r="AC99" s="1" t="n">
        <v>330374</v>
      </c>
      <c r="AD99" s="7" t="n">
        <f aca="false">X99/12</f>
        <v>86671.6666666667</v>
      </c>
      <c r="AE99" s="8" t="n">
        <f aca="false">Z99/AD99</f>
        <v>0.228</v>
      </c>
      <c r="AF99" s="1" t="s">
        <v>170</v>
      </c>
    </row>
    <row r="100" s="3" customFormat="true" ht="16" hidden="false" customHeight="false" outlineLevel="0" collapsed="false">
      <c r="A100" s="1" t="n">
        <v>99</v>
      </c>
      <c r="B100" s="1" t="s">
        <v>474</v>
      </c>
      <c r="C100" s="1" t="s">
        <v>475</v>
      </c>
      <c r="D100" s="1" t="s">
        <v>476</v>
      </c>
      <c r="E100" s="1" t="s">
        <v>477</v>
      </c>
      <c r="F100" s="1" t="s">
        <v>397</v>
      </c>
      <c r="G100" s="1" t="n">
        <v>36330</v>
      </c>
      <c r="H100" s="1" t="s">
        <v>43</v>
      </c>
      <c r="I100" s="1" t="n">
        <v>1</v>
      </c>
      <c r="J100" s="1" t="n">
        <v>215798</v>
      </c>
      <c r="K100" s="1" t="n">
        <v>0</v>
      </c>
      <c r="L100" s="1" t="n">
        <v>9</v>
      </c>
      <c r="M100" s="1" t="n">
        <v>42788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1211421</v>
      </c>
      <c r="Y100" s="1" t="s">
        <v>156</v>
      </c>
      <c r="Z100" s="1" t="n">
        <v>4270.25</v>
      </c>
      <c r="AA100" s="1" t="n">
        <v>28.3</v>
      </c>
      <c r="AB100" s="1" t="n">
        <v>72</v>
      </c>
      <c r="AC100" s="1" t="n">
        <v>107932</v>
      </c>
      <c r="AD100" s="7" t="n">
        <f aca="false">X100/12</f>
        <v>100951.75</v>
      </c>
      <c r="AE100" s="8" t="n">
        <f aca="false">Z100/AD100</f>
        <v>0.0422999106008563</v>
      </c>
      <c r="AF100" s="1" t="s">
        <v>151</v>
      </c>
    </row>
    <row r="101" s="3" customFormat="true" ht="16" hidden="false" customHeight="false" outlineLevel="0" collapsed="false">
      <c r="A101" s="1" t="n">
        <v>100</v>
      </c>
      <c r="B101" s="1" t="s">
        <v>478</v>
      </c>
      <c r="C101" s="1" t="s">
        <v>479</v>
      </c>
      <c r="D101" s="1" t="s">
        <v>480</v>
      </c>
      <c r="E101" s="1" t="s">
        <v>481</v>
      </c>
      <c r="F101" s="1" t="s">
        <v>63</v>
      </c>
      <c r="G101" s="1" t="n">
        <v>45039</v>
      </c>
      <c r="H101" s="1" t="s">
        <v>43</v>
      </c>
      <c r="I101" s="1" t="n">
        <v>0</v>
      </c>
      <c r="J101" s="1" t="n">
        <v>0</v>
      </c>
      <c r="K101" s="1" t="n">
        <v>0</v>
      </c>
      <c r="L101" s="1" t="n">
        <v>14</v>
      </c>
      <c r="M101" s="1" t="n">
        <v>78204</v>
      </c>
      <c r="N101" s="1" t="n">
        <v>1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1</v>
      </c>
      <c r="V101" s="1" t="n">
        <v>191664</v>
      </c>
      <c r="W101" s="1" t="n">
        <v>0</v>
      </c>
      <c r="X101" s="1" t="n">
        <v>596809</v>
      </c>
      <c r="Y101" s="1" t="s">
        <v>269</v>
      </c>
      <c r="Z101" s="1" t="n">
        <v>4774.51</v>
      </c>
      <c r="AA101" s="1" t="n">
        <v>22.7</v>
      </c>
      <c r="AB101" s="1" t="n">
        <v>32</v>
      </c>
      <c r="AC101" s="1" t="n">
        <v>200772</v>
      </c>
      <c r="AD101" s="7" t="n">
        <f aca="false">X101/12</f>
        <v>49734.0833333333</v>
      </c>
      <c r="AE101" s="8" t="n">
        <f aca="false">Z101/AD101</f>
        <v>0.0960007640635446</v>
      </c>
      <c r="AF101" s="1" t="s">
        <v>170</v>
      </c>
    </row>
    <row r="102" customFormat="false" ht="16" hidden="false" customHeight="false" outlineLevel="0" collapsed="false">
      <c r="Z102" s="1"/>
      <c r="AC102" s="1"/>
    </row>
  </sheetData>
  <autoFilter ref="A1:AA101"/>
  <conditionalFormatting sqref="X62:AC80 Z81:AC81 X82:AC100 AF62:AF100">
    <cfRule type="expression" priority="2" aboveAverage="0" equalAverage="0" bottom="0" percent="0" rank="0" text="" dxfId="0">
      <formula>COUNTIF(#ref!,#ref!)&gt;1</formula>
    </cfRule>
  </conditionalFormatting>
  <conditionalFormatting sqref="V82:V100 W82:W101">
    <cfRule type="expression" priority="3" aboveAverage="0" equalAverage="0" bottom="0" percent="0" rank="0" text="" dxfId="1">
      <formula>COUNTIF(#ref!,#ref!)&gt;1</formula>
    </cfRule>
  </conditionalFormatting>
  <conditionalFormatting sqref="O62:O81">
    <cfRule type="expression" priority="4" aboveAverage="0" equalAverage="0" bottom="0" percent="0" rank="0" text="" dxfId="2">
      <formula>COUNTIF(#ref!,#ref!)&gt;1</formula>
    </cfRule>
  </conditionalFormatting>
  <conditionalFormatting sqref="P62:Q81">
    <cfRule type="expression" priority="5" aboveAverage="0" equalAverage="0" bottom="0" percent="0" rank="0" text="" dxfId="3">
      <formula>COUNTIF(#ref!,#ref!)&gt;1</formula>
    </cfRule>
  </conditionalFormatting>
  <conditionalFormatting sqref="O82:O101">
    <cfRule type="expression" priority="6" aboveAverage="0" equalAverage="0" bottom="0" percent="0" rank="0" text="" dxfId="4">
      <formula>COUNTIF(#ref!,#ref!)&gt;1</formula>
    </cfRule>
  </conditionalFormatting>
  <conditionalFormatting sqref="P82:Q101">
    <cfRule type="expression" priority="7" aboveAverage="0" equalAverage="0" bottom="0" percent="0" rank="0" text="" dxfId="5">
      <formula>COUNTIF(#ref!,#ref!)&gt;1</formula>
    </cfRule>
  </conditionalFormatting>
  <conditionalFormatting sqref="Z102">
    <cfRule type="expression" priority="8" aboveAverage="0" equalAverage="0" bottom="0" percent="0" rank="0" text="" dxfId="6">
      <formula>COUNTIF(#ref!,#ref!)&gt;1</formula>
    </cfRule>
  </conditionalFormatting>
  <conditionalFormatting sqref="Z101">
    <cfRule type="expression" priority="9" aboveAverage="0" equalAverage="0" bottom="0" percent="0" rank="0" text="" dxfId="7">
      <formula>COUNTIF(#ref!,#ref!)&gt;1</formula>
    </cfRule>
  </conditionalFormatting>
  <conditionalFormatting sqref="AA101">
    <cfRule type="expression" priority="10" aboveAverage="0" equalAverage="0" bottom="0" percent="0" rank="0" text="" dxfId="8">
      <formula>COUNTIF(#ref!,#ref!)&gt;1</formula>
    </cfRule>
  </conditionalFormatting>
  <conditionalFormatting sqref="V101">
    <cfRule type="expression" priority="11" aboveAverage="0" equalAverage="0" bottom="0" percent="0" rank="0" text="" dxfId="9">
      <formula>COUNTIF(#ref!,#ref!)&gt;1</formula>
    </cfRule>
  </conditionalFormatting>
  <conditionalFormatting sqref="AB101">
    <cfRule type="expression" priority="12" aboveAverage="0" equalAverage="0" bottom="0" percent="0" rank="0" text="" dxfId="10">
      <formula>COUNTIF(#ref!,#ref!)&gt;1</formula>
    </cfRule>
  </conditionalFormatting>
  <conditionalFormatting sqref="AF22:AF41">
    <cfRule type="expression" priority="13" aboveAverage="0" equalAverage="0" bottom="0" percent="0" rank="0" text="" dxfId="11">
      <formula>COUNTIF(#ref!,#ref!)&gt;1</formula>
    </cfRule>
  </conditionalFormatting>
  <conditionalFormatting sqref="L22:L41">
    <cfRule type="expression" priority="14" aboveAverage="0" equalAverage="0" bottom="0" percent="0" rank="0" text="" dxfId="12">
      <formula>COUNTIF(#ref!,#ref!)&gt;1</formula>
    </cfRule>
  </conditionalFormatting>
  <conditionalFormatting sqref="L101:M101">
    <cfRule type="expression" priority="15" aboveAverage="0" equalAverage="0" bottom="0" percent="0" rank="0" text="" dxfId="13">
      <formula>COUNTIF(#ref!,#ref!)&gt;1</formula>
    </cfRule>
  </conditionalFormatting>
  <conditionalFormatting sqref="Y18">
    <cfRule type="expression" priority="16" aboveAverage="0" equalAverage="0" bottom="0" percent="0" rank="0" text="" dxfId="14">
      <formula>COUNTIF(#ref!,#ref!)&gt;1</formula>
    </cfRule>
  </conditionalFormatting>
  <conditionalFormatting sqref="Y7">
    <cfRule type="expression" priority="17" aboveAverage="0" equalAverage="0" bottom="0" percent="0" rank="0" text="" dxfId="15">
      <formula>COUNTIF(#ref!,#ref!)&gt;1</formula>
    </cfRule>
  </conditionalFormatting>
  <conditionalFormatting sqref="M22:M41">
    <cfRule type="expression" priority="18" aboveAverage="0" equalAverage="0" bottom="0" percent="0" rank="0" text="" dxfId="16">
      <formula>COUNTIF(#ref!,#ref!)&gt;1</formula>
    </cfRule>
  </conditionalFormatting>
  <conditionalFormatting sqref="N22:O41 O42:O61">
    <cfRule type="expression" priority="19" aboveAverage="0" equalAverage="0" bottom="0" percent="0" rank="0" text="" dxfId="17">
      <formula>COUNTIF(#ref!,#ref!)&gt;1</formula>
    </cfRule>
  </conditionalFormatting>
  <conditionalFormatting sqref="S42:S61">
    <cfRule type="expression" priority="20" aboveAverage="0" equalAverage="0" bottom="0" percent="0" rank="0" text="" dxfId="18">
      <formula>COUNTIF(#ref!,#ref!)&gt;1</formula>
    </cfRule>
  </conditionalFormatting>
  <conditionalFormatting sqref="X42:AC46 X48:AC59 X47 Z47:AC47 X61:AC61 X60 Z60:AC60">
    <cfRule type="expression" priority="21" aboveAverage="0" equalAverage="0" bottom="0" percent="0" rank="0" text="" dxfId="19">
      <formula>COUNTIF(#ref!,#ref!)&gt;1</formula>
    </cfRule>
  </conditionalFormatting>
  <conditionalFormatting sqref="L42:N61 P42:Q61">
    <cfRule type="expression" priority="22" aboveAverage="0" equalAverage="0" bottom="0" percent="0" rank="0" text="" dxfId="20">
      <formula>COUNTIF(#ref!,#ref!)&gt;1</formula>
    </cfRule>
  </conditionalFormatting>
  <conditionalFormatting sqref="AF42:AF61">
    <cfRule type="expression" priority="23" aboveAverage="0" equalAverage="0" bottom="0" percent="0" rank="0" text="" dxfId="21">
      <formula>COUNTIF(#ref!,#ref!)&gt;1</formula>
    </cfRule>
  </conditionalFormatting>
  <conditionalFormatting sqref="J62:K81">
    <cfRule type="expression" priority="24" aboveAverage="0" equalAverage="0" bottom="0" percent="0" rank="0" text="" dxfId="22">
      <formula>COUNTIF(#ref!,#ref!)&gt;1</formula>
    </cfRule>
  </conditionalFormatting>
  <conditionalFormatting sqref="L62:N81">
    <cfRule type="expression" priority="25" aboveAverage="0" equalAverage="0" bottom="0" percent="0" rank="0" text="" dxfId="23">
      <formula>COUNTIF(#ref!,#ref!)&gt;1</formula>
    </cfRule>
  </conditionalFormatting>
  <conditionalFormatting sqref="X81">
    <cfRule type="expression" priority="26" aboveAverage="0" equalAverage="0" bottom="0" percent="0" rank="0" text="" dxfId="24">
      <formula>COUNTIF(#ref!,#ref!)&gt;1</formula>
    </cfRule>
  </conditionalFormatting>
  <conditionalFormatting sqref="L82:N100 N101">
    <cfRule type="expression" priority="27" aboveAverage="0" equalAverage="0" bottom="0" percent="0" rank="0" text="" dxfId="25">
      <formula>COUNTIF(#ref!,#ref!)&gt;1</formula>
    </cfRule>
  </conditionalFormatting>
  <conditionalFormatting sqref="AF101">
    <cfRule type="expression" priority="28" aboveAverage="0" equalAverage="0" bottom="0" percent="0" rank="0" text="" dxfId="26">
      <formula>COUNTIF(#ref!,#ref!)&gt;1</formula>
    </cfRule>
  </conditionalFormatting>
  <conditionalFormatting sqref="AC102">
    <cfRule type="expression" priority="29" aboveAverage="0" equalAverage="0" bottom="0" percent="0" rank="0" text="" dxfId="27">
      <formula>COUNTIF(#ref!,#ref!)&gt;1</formula>
    </cfRule>
  </conditionalFormatting>
  <conditionalFormatting sqref="AC101">
    <cfRule type="expression" priority="30" aboveAverage="0" equalAverage="0" bottom="0" percent="0" rank="0" text="" dxfId="28">
      <formula>COUNTIF(#ref!,#ref!)&gt;1</formula>
    </cfRule>
  </conditionalFormatting>
  <conditionalFormatting sqref="AC22:AC41">
    <cfRule type="expression" priority="31" aboveAverage="0" equalAverage="0" bottom="0" percent="0" rank="0" text="" dxfId="29">
      <formula>COUNTIF(#ref!,#ref!)&gt;1</formula>
    </cfRule>
  </conditionalFormatting>
  <conditionalFormatting sqref="AB22:AB41">
    <cfRule type="expression" priority="32" aboveAverage="0" equalAverage="0" bottom="0" percent="0" rank="0" text="" dxfId="30">
      <formula>COUNTIF(#ref!,#ref!)&gt;1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LibreOffice/7.0.1.2$Linux_X86_64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2020-07-08T22:18:01Z</dcterms:created>
  <dc:creator>BK Inbasekaran</dc:creator>
  <dc:description/>
  <dc:language>en-US</dc:language>
  <cp:lastModifiedBy/>
  <dcterms:modified xsi:type="dcterms:W3CDTF">2020-09-24T10:53:34Z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