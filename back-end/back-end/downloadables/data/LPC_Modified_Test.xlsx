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<sst xmlns="http://schemas.openxmlformats.org/spreadsheetml/2006/main" count="170" uniqueCount="145">
  <si>
    <t xml:space="preserve">Id</t>
  </si>
  <si>
    <t xml:space="preserve">First Name</t>
  </si>
  <si>
    <t xml:space="preserve">Last Name</t>
  </si>
  <si>
    <t xml:space="preserve">Address 1</t>
  </si>
  <si>
    <t xml:space="preserve">City </t>
  </si>
  <si>
    <t xml:space="preserve">State </t>
  </si>
  <si>
    <t xml:space="preserve">00Zip</t>
  </si>
  <si>
    <t xml:space="preserve">ScoreBucket</t>
  </si>
  <si>
    <t xml:space="preserve">StudentLoanQty</t>
  </si>
  <si>
    <t xml:space="preserve">StudentLoanBal</t>
  </si>
  <si>
    <t xml:space="preserve">StudentLoanDel</t>
  </si>
  <si>
    <t xml:space="preserve">CreditCardQty</t>
  </si>
  <si>
    <t xml:space="preserve">CreditCardBal</t>
  </si>
  <si>
    <t xml:space="preserve">CreditCardDel</t>
  </si>
  <si>
    <t xml:space="preserve">AutoLoanQty</t>
  </si>
  <si>
    <t xml:space="preserve">AutoLoanBal</t>
  </si>
  <si>
    <t xml:space="preserve">AutoLoanDel</t>
  </si>
  <si>
    <t xml:space="preserve">MortgageQty</t>
  </si>
  <si>
    <t xml:space="preserve">MortgageBal</t>
  </si>
  <si>
    <t xml:space="preserve">MortgageDel</t>
  </si>
  <si>
    <t xml:space="preserve">OtherQty</t>
  </si>
  <si>
    <t xml:space="preserve">OtherBal</t>
  </si>
  <si>
    <t xml:space="preserve">OtherDel</t>
  </si>
  <si>
    <t xml:space="preserve">Annual Income</t>
  </si>
  <si>
    <t xml:space="preserve">Years in current job</t>
  </si>
  <si>
    <t xml:space="preserve">Montthly Debt</t>
  </si>
  <si>
    <t xml:space="preserve">Years of Credit History</t>
  </si>
  <si>
    <t xml:space="preserve">Months since last delinquent</t>
  </si>
  <si>
    <t xml:space="preserve">Maximum Open Credit</t>
  </si>
  <si>
    <t xml:space="preserve">Monthly Income</t>
  </si>
  <si>
    <t xml:space="preserve">Debt Ratio</t>
  </si>
  <si>
    <t xml:space="preserve">Loan Status</t>
  </si>
  <si>
    <t xml:space="preserve">Isaias</t>
  </si>
  <si>
    <t xml:space="preserve">Lynch</t>
  </si>
  <si>
    <t xml:space="preserve">5 Old Strawberry Lane</t>
  </si>
  <si>
    <t xml:space="preserve">Chesapeake</t>
  </si>
  <si>
    <t xml:space="preserve">VA</t>
  </si>
  <si>
    <t xml:space="preserve">X</t>
  </si>
  <si>
    <t xml:space="preserve">Edna</t>
  </si>
  <si>
    <t xml:space="preserve">Jarvis</t>
  </si>
  <si>
    <t xml:space="preserve">778 E. Roehampton Lane</t>
  </si>
  <si>
    <t xml:space="preserve">Little Falls</t>
  </si>
  <si>
    <t xml:space="preserve">NJ</t>
  </si>
  <si>
    <t xml:space="preserve">D</t>
  </si>
  <si>
    <t xml:space="preserve">6 years</t>
  </si>
  <si>
    <t xml:space="preserve">Pedro</t>
  </si>
  <si>
    <t xml:space="preserve">Willis</t>
  </si>
  <si>
    <t xml:space="preserve">88 Oak Dr.</t>
  </si>
  <si>
    <t xml:space="preserve">Methuen</t>
  </si>
  <si>
    <t xml:space="preserve">MA</t>
  </si>
  <si>
    <t xml:space="preserve">B</t>
  </si>
  <si>
    <t xml:space="preserve">5 years</t>
  </si>
  <si>
    <t xml:space="preserve">Bryon</t>
  </si>
  <si>
    <t xml:space="preserve">Thompson</t>
  </si>
  <si>
    <t xml:space="preserve">8 Orange Drive</t>
  </si>
  <si>
    <t xml:space="preserve">Cape Coral</t>
  </si>
  <si>
    <t xml:space="preserve">FL</t>
  </si>
  <si>
    <t xml:space="preserve">Q</t>
  </si>
  <si>
    <t xml:space="preserve">4 years</t>
  </si>
  <si>
    <t xml:space="preserve">Kyle</t>
  </si>
  <si>
    <t xml:space="preserve">Moss</t>
  </si>
  <si>
    <t xml:space="preserve">358 Greenrose Lane</t>
  </si>
  <si>
    <t xml:space="preserve">Cincinnati</t>
  </si>
  <si>
    <t xml:space="preserve">OH</t>
  </si>
  <si>
    <t xml:space="preserve">A</t>
  </si>
  <si>
    <t xml:space="preserve">Amy</t>
  </si>
  <si>
    <t xml:space="preserve">Shaffer</t>
  </si>
  <si>
    <t xml:space="preserve">3 Mountainview Drive</t>
  </si>
  <si>
    <t xml:space="preserve">Roselle</t>
  </si>
  <si>
    <t xml:space="preserve">IL</t>
  </si>
  <si>
    <t xml:space="preserve">M</t>
  </si>
  <si>
    <t xml:space="preserve">7 years</t>
  </si>
  <si>
    <t xml:space="preserve">Casandra</t>
  </si>
  <si>
    <t xml:space="preserve">Chen</t>
  </si>
  <si>
    <t xml:space="preserve">9 Rose Street</t>
  </si>
  <si>
    <t xml:space="preserve">Solon</t>
  </si>
  <si>
    <t xml:space="preserve">E</t>
  </si>
  <si>
    <t xml:space="preserve">Louis</t>
  </si>
  <si>
    <t xml:space="preserve">Cunningham</t>
  </si>
  <si>
    <t xml:space="preserve">97 La Sierra Ave.</t>
  </si>
  <si>
    <t xml:space="preserve">Fullerton</t>
  </si>
  <si>
    <t xml:space="preserve">CA</t>
  </si>
  <si>
    <t xml:space="preserve">L</t>
  </si>
  <si>
    <t xml:space="preserve">Xavier</t>
  </si>
  <si>
    <t xml:space="preserve">Moon</t>
  </si>
  <si>
    <t xml:space="preserve">917 Ridgeview Rd.</t>
  </si>
  <si>
    <t xml:space="preserve">Potomac</t>
  </si>
  <si>
    <t xml:space="preserve">MD</t>
  </si>
  <si>
    <t xml:space="preserve">G</t>
  </si>
  <si>
    <t xml:space="preserve">Winston</t>
  </si>
  <si>
    <t xml:space="preserve">Beasley</t>
  </si>
  <si>
    <t xml:space="preserve">680 Smith Rd.</t>
  </si>
  <si>
    <t xml:space="preserve">Harrisonburg</t>
  </si>
  <si>
    <t xml:space="preserve">P</t>
  </si>
  <si>
    <t xml:space="preserve">Theodore</t>
  </si>
  <si>
    <t xml:space="preserve">Roth</t>
  </si>
  <si>
    <t xml:space="preserve">7714 Old Valley Avenue</t>
  </si>
  <si>
    <t xml:space="preserve">Westbury</t>
  </si>
  <si>
    <t xml:space="preserve">NY</t>
  </si>
  <si>
    <t xml:space="preserve">Adolfo</t>
  </si>
  <si>
    <t xml:space="preserve">Contreras</t>
  </si>
  <si>
    <t xml:space="preserve">592 Fordham St.</t>
  </si>
  <si>
    <t xml:space="preserve">Chelsea</t>
  </si>
  <si>
    <t xml:space="preserve">Kimberley</t>
  </si>
  <si>
    <t xml:space="preserve">Higgins</t>
  </si>
  <si>
    <t xml:space="preserve">71 West Marlborough Court</t>
  </si>
  <si>
    <t xml:space="preserve">Taylors</t>
  </si>
  <si>
    <t xml:space="preserve">SC</t>
  </si>
  <si>
    <t xml:space="preserve">H</t>
  </si>
  <si>
    <t xml:space="preserve">Sara</t>
  </si>
  <si>
    <t xml:space="preserve">Rosales</t>
  </si>
  <si>
    <t xml:space="preserve">7196 W. Jennings Street</t>
  </si>
  <si>
    <t xml:space="preserve">Levittown</t>
  </si>
  <si>
    <t xml:space="preserve">R</t>
  </si>
  <si>
    <t xml:space="preserve">Sallie</t>
  </si>
  <si>
    <t xml:space="preserve">Armstrong</t>
  </si>
  <si>
    <t xml:space="preserve">163 Foster Ave.</t>
  </si>
  <si>
    <t xml:space="preserve">Forney</t>
  </si>
  <si>
    <t xml:space="preserve">TX</t>
  </si>
  <si>
    <t xml:space="preserve">Leonor</t>
  </si>
  <si>
    <t xml:space="preserve">Gregory</t>
  </si>
  <si>
    <t xml:space="preserve">18 N. Harvard Street</t>
  </si>
  <si>
    <t xml:space="preserve">State College</t>
  </si>
  <si>
    <t xml:space="preserve">PA</t>
  </si>
  <si>
    <t xml:space="preserve">K</t>
  </si>
  <si>
    <t xml:space="preserve">Alex</t>
  </si>
  <si>
    <t xml:space="preserve">Wilkinson</t>
  </si>
  <si>
    <t xml:space="preserve">290 Branch Rd.</t>
  </si>
  <si>
    <t xml:space="preserve">La Vergne</t>
  </si>
  <si>
    <t xml:space="preserve">TN</t>
  </si>
  <si>
    <t xml:space="preserve">J</t>
  </si>
  <si>
    <t xml:space="preserve">Shannon</t>
  </si>
  <si>
    <t xml:space="preserve">Dodson</t>
  </si>
  <si>
    <t xml:space="preserve">7 East Manhattan Avenue</t>
  </si>
  <si>
    <t xml:space="preserve">Lorain</t>
  </si>
  <si>
    <t xml:space="preserve">Lou</t>
  </si>
  <si>
    <t xml:space="preserve">Gardner</t>
  </si>
  <si>
    <t xml:space="preserve">575 Country Club Ave.</t>
  </si>
  <si>
    <t xml:space="preserve">Royal Oak</t>
  </si>
  <si>
    <t xml:space="preserve">MI</t>
  </si>
  <si>
    <t xml:space="preserve">Merlin</t>
  </si>
  <si>
    <t xml:space="preserve">Benton</t>
  </si>
  <si>
    <t xml:space="preserve">98 Amherst St.</t>
  </si>
  <si>
    <t xml:space="preserve">North Miami Beach</t>
  </si>
  <si>
    <t xml:space="preserve">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</si>
</sst>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.00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0.609375" defaultRowHeight="16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n">
        <v>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n">
        <v>23320</v>
      </c>
      <c r="H2" s="1" t="s">
        <v>37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2" t="n">
        <v>0</v>
      </c>
      <c r="Y2" s="1" t="n">
        <v>0</v>
      </c>
      <c r="Z2" s="3" t="n">
        <v>0</v>
      </c>
      <c r="AA2" s="4" t="n">
        <v>0</v>
      </c>
      <c r="AB2" s="5" t="n">
        <v>0</v>
      </c>
      <c r="AC2" s="5" t="n">
        <v>0</v>
      </c>
      <c r="AD2" s="6" t="n">
        <v>0</v>
      </c>
      <c r="AE2" s="7" t="n">
        <v>0</v>
      </c>
      <c r="AF2" s="1"/>
    </row>
    <row r="3" customFormat="false" ht="15" hidden="false" customHeight="false" outlineLevel="0" collapsed="false">
      <c r="A3" s="1" t="n">
        <v>2</v>
      </c>
      <c r="B3" s="0" t="s">
        <v>38</v>
      </c>
      <c r="C3" s="0" t="s">
        <v>39</v>
      </c>
      <c r="D3" s="0" t="s">
        <v>40</v>
      </c>
      <c r="E3" s="0" t="s">
        <v>41</v>
      </c>
      <c r="F3" s="0" t="s">
        <v>42</v>
      </c>
      <c r="G3" s="0" t="n">
        <v>7424</v>
      </c>
      <c r="H3" s="1" t="s">
        <v>43</v>
      </c>
      <c r="I3" s="1" t="n">
        <v>0</v>
      </c>
      <c r="J3" s="1" t="n">
        <v>0</v>
      </c>
      <c r="K3" s="1" t="n">
        <v>0</v>
      </c>
      <c r="L3" s="1" t="n">
        <v>8</v>
      </c>
      <c r="M3" s="1" t="n">
        <v>14943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n">
        <v>14198</v>
      </c>
      <c r="T3" s="1" t="n">
        <v>0</v>
      </c>
      <c r="U3" s="1" t="n">
        <v>0</v>
      </c>
      <c r="V3" s="1" t="n">
        <v>0</v>
      </c>
      <c r="W3" s="1" t="n">
        <v>0</v>
      </c>
      <c r="X3" s="2" t="n">
        <v>868357</v>
      </c>
      <c r="Y3" s="1" t="s">
        <v>44</v>
      </c>
      <c r="Z3" s="3" t="n">
        <v>3210.43</v>
      </c>
      <c r="AA3" s="4" t="n">
        <v>23.6</v>
      </c>
      <c r="AB3" s="5" t="n">
        <v>7</v>
      </c>
      <c r="AC3" s="5" t="n">
        <v>133210</v>
      </c>
      <c r="AD3" s="6" t="n">
        <f aca="false">X3/12</f>
        <v>72363.0833333333</v>
      </c>
      <c r="AE3" s="7" t="n">
        <f aca="false">Z3/AD3</f>
        <v>0.0443655777520075</v>
      </c>
      <c r="AF3" s="1"/>
    </row>
    <row r="4" customFormat="false" ht="15" hidden="false" customHeight="false" outlineLevel="0" collapsed="false">
      <c r="A4" s="1" t="n">
        <v>3</v>
      </c>
      <c r="B4" s="0" t="s">
        <v>45</v>
      </c>
      <c r="C4" s="0" t="s">
        <v>46</v>
      </c>
      <c r="D4" s="0" t="s">
        <v>47</v>
      </c>
      <c r="E4" s="0" t="s">
        <v>48</v>
      </c>
      <c r="F4" s="0" t="s">
        <v>49</v>
      </c>
      <c r="G4" s="0" t="n">
        <v>1844</v>
      </c>
      <c r="H4" s="1" t="s">
        <v>50</v>
      </c>
      <c r="I4" s="1" t="n">
        <v>0</v>
      </c>
      <c r="J4" s="1" t="n">
        <v>0</v>
      </c>
      <c r="K4" s="1" t="n">
        <v>0</v>
      </c>
      <c r="L4" s="1" t="n">
        <v>2</v>
      </c>
      <c r="M4" s="1" t="n">
        <v>9462</v>
      </c>
      <c r="N4" s="1" t="n">
        <v>0</v>
      </c>
      <c r="O4" s="1" t="n">
        <v>1</v>
      </c>
      <c r="P4" s="1" t="n">
        <v>15104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2</v>
      </c>
      <c r="V4" s="1" t="n">
        <v>13224</v>
      </c>
      <c r="W4" s="1" t="n">
        <v>0</v>
      </c>
      <c r="X4" s="2" t="n">
        <v>719872</v>
      </c>
      <c r="Y4" s="1" t="s">
        <v>51</v>
      </c>
      <c r="Z4" s="3" t="n">
        <v>8487.77</v>
      </c>
      <c r="AA4" s="4" t="n">
        <v>26.2</v>
      </c>
      <c r="AB4" s="5" t="n">
        <v>21</v>
      </c>
      <c r="AC4" s="5" t="n">
        <v>87362</v>
      </c>
      <c r="AD4" s="6" t="n">
        <f aca="false">X4/12</f>
        <v>59989.3333333333</v>
      </c>
      <c r="AE4" s="7" t="n">
        <f aca="false">Z4/AD4</f>
        <v>0.141487986753201</v>
      </c>
      <c r="AF4" s="1"/>
    </row>
    <row r="5" customFormat="false" ht="15" hidden="false" customHeight="false" outlineLevel="0" collapsed="false">
      <c r="A5" s="1" t="n">
        <v>4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n">
        <v>33904</v>
      </c>
      <c r="H5" s="1" t="s">
        <v>57</v>
      </c>
      <c r="I5" s="1" t="n">
        <v>0</v>
      </c>
      <c r="J5" s="1" t="n">
        <v>0</v>
      </c>
      <c r="K5" s="1" t="n">
        <v>0</v>
      </c>
      <c r="L5" s="1" t="n">
        <v>2</v>
      </c>
      <c r="M5" s="1" t="n">
        <v>3096</v>
      </c>
      <c r="N5" s="1" t="n">
        <v>1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402</v>
      </c>
      <c r="W5" s="1" t="n">
        <v>1</v>
      </c>
      <c r="X5" s="2" t="n">
        <v>544378.5</v>
      </c>
      <c r="Y5" s="1" t="s">
        <v>58</v>
      </c>
      <c r="Z5" s="3" t="n">
        <v>3666.43</v>
      </c>
      <c r="AA5" s="4" t="n">
        <v>23.95</v>
      </c>
      <c r="AB5" s="5" t="n">
        <v>11</v>
      </c>
      <c r="AC5" s="5" t="n">
        <v>155826</v>
      </c>
      <c r="AD5" s="6" t="n">
        <f aca="false">X5/12</f>
        <v>45364.875</v>
      </c>
      <c r="AE5" s="7" t="n">
        <f aca="false">Z5/AD5</f>
        <v>0.0808208994293492</v>
      </c>
      <c r="AF5" s="1"/>
    </row>
    <row r="6" customFormat="false" ht="15" hidden="false" customHeight="false" outlineLevel="0" collapsed="false">
      <c r="A6" s="1" t="n">
        <v>5</v>
      </c>
      <c r="B6" s="0" t="s">
        <v>59</v>
      </c>
      <c r="C6" s="0" t="s">
        <v>60</v>
      </c>
      <c r="D6" s="0" t="s">
        <v>61</v>
      </c>
      <c r="E6" s="0" t="s">
        <v>62</v>
      </c>
      <c r="F6" s="0" t="s">
        <v>63</v>
      </c>
      <c r="G6" s="0" t="n">
        <v>45211</v>
      </c>
      <c r="H6" s="1" t="s">
        <v>64</v>
      </c>
      <c r="I6" s="1" t="n">
        <v>0</v>
      </c>
      <c r="J6" s="1" t="n">
        <v>0</v>
      </c>
      <c r="K6" s="1" t="n">
        <v>0</v>
      </c>
      <c r="L6" s="1" t="n">
        <v>3</v>
      </c>
      <c r="M6" s="1" t="n">
        <v>419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3</v>
      </c>
      <c r="S6" s="1" t="n">
        <v>0</v>
      </c>
      <c r="T6" s="1" t="n">
        <v>0</v>
      </c>
      <c r="U6" s="1" t="n">
        <v>1</v>
      </c>
      <c r="V6" s="1" t="n">
        <v>246707</v>
      </c>
      <c r="W6" s="1" t="n">
        <v>0</v>
      </c>
      <c r="X6" s="2" t="n">
        <v>548663</v>
      </c>
      <c r="Y6" s="1" t="s">
        <v>58</v>
      </c>
      <c r="Z6" s="3" t="n">
        <v>5462.22</v>
      </c>
      <c r="AA6" s="4" t="n">
        <v>11.05</v>
      </c>
      <c r="AB6" s="5" t="n">
        <v>37</v>
      </c>
      <c r="AC6" s="5" t="n">
        <v>166793</v>
      </c>
      <c r="AD6" s="6" t="n">
        <f aca="false">X6/12</f>
        <v>45721.9166666667</v>
      </c>
      <c r="AE6" s="7" t="n">
        <f aca="false">Z6/AD6</f>
        <v>0.11946612036897</v>
      </c>
      <c r="AF6" s="1"/>
    </row>
    <row r="7" customFormat="false" ht="15" hidden="false" customHeight="false" outlineLevel="0" collapsed="false">
      <c r="A7" s="1" t="n">
        <v>6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69</v>
      </c>
      <c r="G7" s="0" t="n">
        <v>60172</v>
      </c>
      <c r="H7" s="1" t="s">
        <v>70</v>
      </c>
      <c r="I7" s="1" t="n">
        <v>0</v>
      </c>
      <c r="J7" s="1" t="n">
        <v>0</v>
      </c>
      <c r="K7" s="1" t="n">
        <v>0</v>
      </c>
      <c r="L7" s="1" t="n">
        <v>5</v>
      </c>
      <c r="M7" s="1" t="n">
        <v>4775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1</v>
      </c>
      <c r="S7" s="1" t="n">
        <v>0</v>
      </c>
      <c r="T7" s="1" t="n">
        <v>0</v>
      </c>
      <c r="U7" s="1" t="n">
        <v>6</v>
      </c>
      <c r="V7" s="1" t="n">
        <v>28919</v>
      </c>
      <c r="W7" s="1" t="n">
        <v>3</v>
      </c>
      <c r="X7" s="2" t="n">
        <v>848464</v>
      </c>
      <c r="Y7" s="1" t="s">
        <v>71</v>
      </c>
      <c r="Z7" s="3" t="n">
        <v>9136.53</v>
      </c>
      <c r="AA7" s="4" t="n">
        <v>19.85</v>
      </c>
      <c r="AB7" s="5" t="n">
        <v>40</v>
      </c>
      <c r="AC7" s="5" t="n">
        <v>153329</v>
      </c>
      <c r="AD7" s="6" t="n">
        <f aca="false">X7/12</f>
        <v>70705.3333333333</v>
      </c>
      <c r="AE7" s="7" t="n">
        <f aca="false">Z7/AD7</f>
        <v>0.129219813686851</v>
      </c>
      <c r="AF7" s="1"/>
    </row>
    <row r="8" customFormat="false" ht="15" hidden="false" customHeight="false" outlineLevel="0" collapsed="false">
      <c r="A8" s="1" t="n">
        <v>7</v>
      </c>
      <c r="B8" s="0" t="s">
        <v>72</v>
      </c>
      <c r="C8" s="0" t="s">
        <v>73</v>
      </c>
      <c r="D8" s="0" t="s">
        <v>74</v>
      </c>
      <c r="E8" s="0" t="s">
        <v>75</v>
      </c>
      <c r="F8" s="0" t="s">
        <v>63</v>
      </c>
      <c r="G8" s="0" t="n">
        <v>44139</v>
      </c>
      <c r="H8" s="1" t="s">
        <v>76</v>
      </c>
      <c r="I8" s="1" t="n">
        <v>0</v>
      </c>
      <c r="J8" s="1" t="n">
        <v>0</v>
      </c>
      <c r="K8" s="1" t="n">
        <v>0</v>
      </c>
      <c r="L8" s="1" t="n">
        <v>10</v>
      </c>
      <c r="M8" s="1" t="n">
        <v>15267</v>
      </c>
      <c r="N8" s="1" t="n">
        <v>0</v>
      </c>
      <c r="O8" s="1" t="n">
        <v>1</v>
      </c>
      <c r="P8" s="1" t="n">
        <v>29078</v>
      </c>
      <c r="Q8" s="1" t="n">
        <v>0</v>
      </c>
      <c r="R8" s="1" t="n">
        <v>1</v>
      </c>
      <c r="S8" s="1" t="n">
        <v>10916</v>
      </c>
      <c r="T8" s="1" t="n">
        <v>0</v>
      </c>
      <c r="U8" s="1" t="n">
        <v>1</v>
      </c>
      <c r="V8" s="1" t="n">
        <v>24087</v>
      </c>
      <c r="W8" s="1" t="n">
        <v>0</v>
      </c>
      <c r="X8" s="2" t="n">
        <v>719872</v>
      </c>
      <c r="Y8" s="1" t="s">
        <v>44</v>
      </c>
      <c r="Z8" s="3" t="n">
        <v>8487.77</v>
      </c>
      <c r="AA8" s="4" t="n">
        <v>26.2</v>
      </c>
      <c r="AB8" s="5" t="n">
        <v>20</v>
      </c>
      <c r="AC8" s="5" t="n">
        <v>87362</v>
      </c>
      <c r="AD8" s="6" t="n">
        <f aca="false">X8/12</f>
        <v>59989.3333333333</v>
      </c>
      <c r="AE8" s="7" t="n">
        <f aca="false">Z8/AD8</f>
        <v>0.141487986753201</v>
      </c>
      <c r="AF8" s="1"/>
    </row>
    <row r="9" customFormat="false" ht="15" hidden="false" customHeight="false" outlineLevel="0" collapsed="false">
      <c r="A9" s="1" t="n">
        <v>8</v>
      </c>
      <c r="B9" s="0" t="s">
        <v>77</v>
      </c>
      <c r="C9" s="0" t="s">
        <v>78</v>
      </c>
      <c r="D9" s="0" t="s">
        <v>79</v>
      </c>
      <c r="E9" s="0" t="s">
        <v>80</v>
      </c>
      <c r="F9" s="0" t="s">
        <v>81</v>
      </c>
      <c r="G9" s="0" t="n">
        <v>92831</v>
      </c>
      <c r="H9" s="1" t="s">
        <v>82</v>
      </c>
      <c r="I9" s="1" t="n">
        <v>0</v>
      </c>
      <c r="J9" s="1" t="n">
        <v>0</v>
      </c>
      <c r="K9" s="1" t="n">
        <v>0</v>
      </c>
      <c r="L9" s="1" t="n">
        <v>7</v>
      </c>
      <c r="M9" s="1" t="n">
        <v>917</v>
      </c>
      <c r="N9" s="1" t="n">
        <v>0</v>
      </c>
      <c r="O9" s="1" t="n">
        <v>4</v>
      </c>
      <c r="P9" s="1" t="n">
        <v>60467</v>
      </c>
      <c r="Q9" s="1" t="n">
        <v>1</v>
      </c>
      <c r="R9" s="1" t="n">
        <v>0</v>
      </c>
      <c r="S9" s="1" t="n">
        <v>0</v>
      </c>
      <c r="T9" s="1" t="n">
        <v>0</v>
      </c>
      <c r="U9" s="1" t="n">
        <v>3</v>
      </c>
      <c r="V9" s="1" t="n">
        <v>60460</v>
      </c>
      <c r="W9" s="1" t="n">
        <v>2</v>
      </c>
      <c r="X9" s="2" t="n">
        <v>433010</v>
      </c>
      <c r="Y9" s="1" t="s">
        <v>51</v>
      </c>
      <c r="Z9" s="3" t="n">
        <v>941.64</v>
      </c>
      <c r="AA9" s="4" t="n">
        <v>20.2</v>
      </c>
      <c r="AB9" s="5" t="n">
        <v>12</v>
      </c>
      <c r="AC9" s="5" t="n">
        <v>37015</v>
      </c>
      <c r="AD9" s="6" t="n">
        <f aca="false">X9/12</f>
        <v>36084.1666666667</v>
      </c>
      <c r="AE9" s="7" t="n">
        <f aca="false">Z9/AD9</f>
        <v>0.0260956559894691</v>
      </c>
      <c r="AF9" s="1"/>
    </row>
    <row r="10" customFormat="false" ht="15" hidden="false" customHeight="false" outlineLevel="0" collapsed="false">
      <c r="A10" s="1" t="n">
        <v>9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87</v>
      </c>
      <c r="G10" s="0" t="n">
        <v>20854</v>
      </c>
      <c r="H10" s="1" t="s">
        <v>88</v>
      </c>
      <c r="I10" s="1" t="n">
        <v>0</v>
      </c>
      <c r="J10" s="1" t="n">
        <v>0</v>
      </c>
      <c r="K10" s="1" t="n">
        <v>0</v>
      </c>
      <c r="L10" s="1" t="n">
        <v>5</v>
      </c>
      <c r="M10" s="1" t="n">
        <v>19491</v>
      </c>
      <c r="N10" s="1" t="n">
        <v>0</v>
      </c>
      <c r="O10" s="1" t="n">
        <v>4</v>
      </c>
      <c r="P10" s="1" t="n">
        <v>55021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2" t="n">
        <v>433010</v>
      </c>
      <c r="Y10" s="1" t="s">
        <v>51</v>
      </c>
      <c r="Z10" s="3" t="n">
        <v>941.64</v>
      </c>
      <c r="AA10" s="4" t="n">
        <v>20.2</v>
      </c>
      <c r="AB10" s="5" t="n">
        <v>12</v>
      </c>
      <c r="AC10" s="5" t="n">
        <v>37015</v>
      </c>
      <c r="AD10" s="6" t="n">
        <f aca="false">X10/12</f>
        <v>36084.1666666667</v>
      </c>
      <c r="AE10" s="7" t="n">
        <f aca="false">Z10/AD10</f>
        <v>0.0260956559894691</v>
      </c>
      <c r="AF10" s="1"/>
    </row>
    <row r="11" customFormat="false" ht="15" hidden="false" customHeight="false" outlineLevel="0" collapsed="false">
      <c r="A11" s="1" t="n">
        <v>10</v>
      </c>
      <c r="B11" s="0" t="s">
        <v>89</v>
      </c>
      <c r="C11" s="0" t="s">
        <v>90</v>
      </c>
      <c r="D11" s="0" t="s">
        <v>91</v>
      </c>
      <c r="E11" s="0" t="s">
        <v>92</v>
      </c>
      <c r="F11" s="0" t="s">
        <v>36</v>
      </c>
      <c r="G11" s="0" t="n">
        <v>22801</v>
      </c>
      <c r="H11" s="1" t="s">
        <v>93</v>
      </c>
      <c r="I11" s="1" t="n">
        <v>0</v>
      </c>
      <c r="J11" s="1" t="n">
        <v>0</v>
      </c>
      <c r="K11" s="1" t="n">
        <v>0</v>
      </c>
      <c r="L11" s="1" t="n">
        <v>5</v>
      </c>
      <c r="M11" s="1" t="n">
        <v>15968</v>
      </c>
      <c r="N11" s="1" t="n">
        <v>0</v>
      </c>
      <c r="O11" s="1" t="n">
        <v>2</v>
      </c>
      <c r="P11" s="1" t="n">
        <v>138341</v>
      </c>
      <c r="Q11" s="1" t="n">
        <v>0</v>
      </c>
      <c r="R11" s="1" t="n">
        <v>1</v>
      </c>
      <c r="S11" s="1" t="n">
        <v>128640</v>
      </c>
      <c r="T11" s="1" t="n">
        <v>0</v>
      </c>
      <c r="U11" s="1" t="n">
        <v>0</v>
      </c>
      <c r="V11" s="1" t="n">
        <v>0</v>
      </c>
      <c r="W11" s="1" t="n">
        <v>0</v>
      </c>
      <c r="X11" s="2" t="n">
        <v>1838174</v>
      </c>
      <c r="Y11" s="1" t="s">
        <v>44</v>
      </c>
      <c r="Z11" s="3" t="n">
        <v>18962.19</v>
      </c>
      <c r="AA11" s="4" t="n">
        <v>14</v>
      </c>
      <c r="AB11" s="5" t="n">
        <v>16</v>
      </c>
      <c r="AC11" s="5" t="n">
        <v>36465</v>
      </c>
      <c r="AD11" s="6" t="n">
        <f aca="false">X11/12</f>
        <v>153181.166666667</v>
      </c>
      <c r="AE11" s="7" t="n">
        <f aca="false">Z11/AD11</f>
        <v>0.123789303950551</v>
      </c>
      <c r="AF11" s="1"/>
    </row>
    <row r="12" customFormat="false" ht="15" hidden="false" customHeight="false" outlineLevel="0" collapsed="false">
      <c r="A12" s="1" t="n">
        <v>11</v>
      </c>
      <c r="B12" s="0" t="s">
        <v>94</v>
      </c>
      <c r="C12" s="0" t="s">
        <v>95</v>
      </c>
      <c r="D12" s="0" t="s">
        <v>96</v>
      </c>
      <c r="E12" s="0" t="s">
        <v>97</v>
      </c>
      <c r="F12" s="0" t="s">
        <v>98</v>
      </c>
      <c r="G12" s="0" t="n">
        <v>11590</v>
      </c>
      <c r="H12" s="1" t="s">
        <v>50</v>
      </c>
      <c r="I12" s="1" t="n">
        <v>0</v>
      </c>
      <c r="J12" s="1" t="n">
        <v>0</v>
      </c>
      <c r="K12" s="1" t="n">
        <v>0</v>
      </c>
      <c r="L12" s="1" t="n">
        <v>1</v>
      </c>
      <c r="M12" s="1" t="n">
        <v>1643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2" t="n">
        <v>544378.5</v>
      </c>
      <c r="Y12" s="1" t="s">
        <v>58</v>
      </c>
      <c r="Z12" s="3" t="n">
        <v>3666.43</v>
      </c>
      <c r="AA12" s="4" t="n">
        <v>23.95</v>
      </c>
      <c r="AB12" s="5" t="n">
        <v>11</v>
      </c>
      <c r="AC12" s="5" t="n">
        <v>155826</v>
      </c>
      <c r="AD12" s="6" t="n">
        <f aca="false">X12/12</f>
        <v>45364.875</v>
      </c>
      <c r="AE12" s="7" t="n">
        <f aca="false">Z12/AD12</f>
        <v>0.0808208994293492</v>
      </c>
      <c r="AF12" s="1"/>
    </row>
    <row r="13" customFormat="false" ht="15" hidden="false" customHeight="false" outlineLevel="0" collapsed="false">
      <c r="A13" s="1" t="n">
        <v>12</v>
      </c>
      <c r="B13" s="0" t="s">
        <v>99</v>
      </c>
      <c r="C13" s="0" t="s">
        <v>100</v>
      </c>
      <c r="D13" s="0" t="s">
        <v>101</v>
      </c>
      <c r="E13" s="0" t="s">
        <v>102</v>
      </c>
      <c r="F13" s="0" t="s">
        <v>49</v>
      </c>
      <c r="G13" s="0" t="n">
        <v>2150</v>
      </c>
      <c r="H13" s="1" t="s">
        <v>70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3993</v>
      </c>
      <c r="N13" s="1" t="n">
        <v>0</v>
      </c>
      <c r="O13" s="1" t="n">
        <v>2</v>
      </c>
      <c r="P13" s="1" t="n">
        <v>46100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3</v>
      </c>
      <c r="V13" s="1" t="n">
        <v>94637</v>
      </c>
      <c r="W13" s="1" t="n">
        <v>0</v>
      </c>
      <c r="X13" s="2" t="n">
        <v>1183225</v>
      </c>
      <c r="Y13" s="1" t="s">
        <v>51</v>
      </c>
      <c r="Z13" s="3" t="n">
        <v>9702.54</v>
      </c>
      <c r="AA13" s="4" t="n">
        <v>21.95</v>
      </c>
      <c r="AB13" s="5" t="n">
        <v>44</v>
      </c>
      <c r="AC13" s="5" t="n">
        <v>163702</v>
      </c>
      <c r="AD13" s="6" t="n">
        <f aca="false">X13/12</f>
        <v>98602.0833333333</v>
      </c>
      <c r="AE13" s="7" t="n">
        <f aca="false">Z13/AD13</f>
        <v>0.0984009634684866</v>
      </c>
      <c r="AF13" s="1"/>
    </row>
    <row r="14" customFormat="false" ht="15" hidden="false" customHeight="false" outlineLevel="0" collapsed="false">
      <c r="A14" s="1" t="n">
        <v>13</v>
      </c>
      <c r="B14" s="0" t="s">
        <v>103</v>
      </c>
      <c r="C14" s="0" t="s">
        <v>104</v>
      </c>
      <c r="D14" s="0" t="s">
        <v>105</v>
      </c>
      <c r="E14" s="0" t="s">
        <v>106</v>
      </c>
      <c r="F14" s="0" t="s">
        <v>107</v>
      </c>
      <c r="G14" s="0" t="n">
        <v>29687</v>
      </c>
      <c r="H14" s="1" t="s">
        <v>108</v>
      </c>
      <c r="I14" s="1" t="n">
        <v>0</v>
      </c>
      <c r="J14" s="1" t="n">
        <v>0</v>
      </c>
      <c r="K14" s="1" t="n">
        <v>0</v>
      </c>
      <c r="L14" s="1" t="n">
        <v>3</v>
      </c>
      <c r="M14" s="1" t="n">
        <v>6795</v>
      </c>
      <c r="N14" s="1" t="n">
        <v>0</v>
      </c>
      <c r="O14" s="1" t="n">
        <v>1</v>
      </c>
      <c r="P14" s="1" t="n">
        <v>63608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44024</v>
      </c>
      <c r="W14" s="1" t="n">
        <v>0</v>
      </c>
      <c r="X14" s="2" t="n">
        <v>433010</v>
      </c>
      <c r="Y14" s="1" t="s">
        <v>51</v>
      </c>
      <c r="Z14" s="3" t="n">
        <v>941.64</v>
      </c>
      <c r="AA14" s="4" t="n">
        <v>20.2</v>
      </c>
      <c r="AB14" s="5" t="n">
        <v>12</v>
      </c>
      <c r="AC14" s="5" t="n">
        <v>37015</v>
      </c>
      <c r="AD14" s="6" t="n">
        <f aca="false">X14/12</f>
        <v>36084.1666666667</v>
      </c>
      <c r="AE14" s="7" t="n">
        <f aca="false">Z14/AD14</f>
        <v>0.0260956559894691</v>
      </c>
      <c r="AF14" s="1"/>
    </row>
    <row r="15" customFormat="false" ht="15" hidden="false" customHeight="false" outlineLevel="0" collapsed="false">
      <c r="A15" s="1" t="n">
        <v>14</v>
      </c>
      <c r="B15" s="0" t="s">
        <v>109</v>
      </c>
      <c r="C15" s="0" t="s">
        <v>110</v>
      </c>
      <c r="D15" s="0" t="s">
        <v>111</v>
      </c>
      <c r="E15" s="0" t="s">
        <v>112</v>
      </c>
      <c r="F15" s="0" t="s">
        <v>98</v>
      </c>
      <c r="G15" s="0" t="n">
        <v>11756</v>
      </c>
      <c r="H15" s="1" t="s">
        <v>113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318</v>
      </c>
      <c r="N15" s="1" t="n">
        <v>1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2" t="n">
        <v>544378.5</v>
      </c>
      <c r="Y15" s="1" t="s">
        <v>58</v>
      </c>
      <c r="Z15" s="3" t="n">
        <v>3666.43</v>
      </c>
      <c r="AA15" s="4" t="n">
        <v>23.95</v>
      </c>
      <c r="AB15" s="5" t="n">
        <v>11</v>
      </c>
      <c r="AC15" s="5" t="n">
        <v>155826</v>
      </c>
      <c r="AD15" s="6" t="n">
        <f aca="false">X15/12</f>
        <v>45364.875</v>
      </c>
      <c r="AE15" s="7" t="n">
        <f aca="false">Z15/AD15</f>
        <v>0.0808208994293492</v>
      </c>
      <c r="AF15" s="1"/>
    </row>
    <row r="16" customFormat="false" ht="15" hidden="false" customHeight="false" outlineLevel="0" collapsed="false">
      <c r="A16" s="1" t="n">
        <v>15</v>
      </c>
      <c r="B16" s="0" t="s">
        <v>114</v>
      </c>
      <c r="C16" s="0" t="s">
        <v>115</v>
      </c>
      <c r="D16" s="0" t="s">
        <v>116</v>
      </c>
      <c r="E16" s="0" t="s">
        <v>117</v>
      </c>
      <c r="F16" s="0" t="s">
        <v>118</v>
      </c>
      <c r="G16" s="0" t="n">
        <v>75126</v>
      </c>
      <c r="H16" s="1" t="s">
        <v>37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2" t="n">
        <v>0</v>
      </c>
      <c r="Y16" s="1" t="n">
        <v>0</v>
      </c>
      <c r="Z16" s="3" t="n">
        <v>0</v>
      </c>
      <c r="AA16" s="4" t="n">
        <v>0</v>
      </c>
      <c r="AB16" s="5" t="n">
        <v>0</v>
      </c>
      <c r="AC16" s="5" t="n">
        <v>0</v>
      </c>
      <c r="AD16" s="6" t="n">
        <f aca="false">X16/12</f>
        <v>0</v>
      </c>
      <c r="AE16" s="7" t="n">
        <v>0</v>
      </c>
      <c r="AF16" s="1"/>
    </row>
    <row r="17" customFormat="false" ht="15" hidden="false" customHeight="false" outlineLevel="0" collapsed="false">
      <c r="A17" s="1" t="n">
        <v>16</v>
      </c>
      <c r="B17" s="0" t="s">
        <v>119</v>
      </c>
      <c r="C17" s="0" t="s">
        <v>120</v>
      </c>
      <c r="D17" s="0" t="s">
        <v>121</v>
      </c>
      <c r="E17" s="0" t="s">
        <v>122</v>
      </c>
      <c r="F17" s="0" t="s">
        <v>123</v>
      </c>
      <c r="G17" s="0" t="n">
        <v>16801</v>
      </c>
      <c r="H17" s="1" t="s">
        <v>124</v>
      </c>
      <c r="I17" s="1" t="n">
        <v>0</v>
      </c>
      <c r="J17" s="1" t="n">
        <v>0</v>
      </c>
      <c r="K17" s="1" t="n">
        <v>0</v>
      </c>
      <c r="L17" s="1" t="n">
        <v>3</v>
      </c>
      <c r="M17" s="1" t="n">
        <v>27622</v>
      </c>
      <c r="N17" s="1" t="n">
        <v>0</v>
      </c>
      <c r="O17" s="1" t="n">
        <v>1</v>
      </c>
      <c r="P17" s="1" t="n">
        <v>22462</v>
      </c>
      <c r="Q17" s="1" t="n">
        <v>0</v>
      </c>
      <c r="R17" s="1" t="n">
        <v>2</v>
      </c>
      <c r="S17" s="1" t="n">
        <v>533998</v>
      </c>
      <c r="T17" s="1" t="n">
        <v>0</v>
      </c>
      <c r="U17" s="1" t="n">
        <v>2</v>
      </c>
      <c r="V17" s="1" t="n">
        <v>161278</v>
      </c>
      <c r="W17" s="1" t="n">
        <v>0</v>
      </c>
      <c r="X17" s="2" t="n">
        <v>1717799.5</v>
      </c>
      <c r="Y17" s="1" t="s">
        <v>44</v>
      </c>
      <c r="Z17" s="3" t="n">
        <v>11294.55</v>
      </c>
      <c r="AA17" s="4" t="n">
        <v>9.85</v>
      </c>
      <c r="AB17" s="5" t="n">
        <v>23</v>
      </c>
      <c r="AC17" s="5" t="n">
        <v>489456</v>
      </c>
      <c r="AD17" s="6" t="n">
        <f aca="false">X17/12</f>
        <v>143149.958333333</v>
      </c>
      <c r="AE17" s="7" t="n">
        <f aca="false">Z17/AD17</f>
        <v>0.0789001277506484</v>
      </c>
      <c r="AF17" s="1"/>
    </row>
    <row r="18" customFormat="false" ht="15" hidden="false" customHeight="false" outlineLevel="0" collapsed="false">
      <c r="A18" s="1" t="n">
        <v>17</v>
      </c>
      <c r="B18" s="0" t="s">
        <v>125</v>
      </c>
      <c r="C18" s="0" t="s">
        <v>126</v>
      </c>
      <c r="D18" s="0" t="s">
        <v>127</v>
      </c>
      <c r="E18" s="0" t="s">
        <v>128</v>
      </c>
      <c r="F18" s="0" t="s">
        <v>129</v>
      </c>
      <c r="G18" s="0" t="n">
        <v>37086</v>
      </c>
      <c r="H18" s="1" t="s">
        <v>130</v>
      </c>
      <c r="I18" s="1" t="n">
        <v>0</v>
      </c>
      <c r="J18" s="1" t="n">
        <v>0</v>
      </c>
      <c r="K18" s="1" t="n">
        <v>0</v>
      </c>
      <c r="L18" s="1" t="n">
        <v>5</v>
      </c>
      <c r="M18" s="1" t="n">
        <v>13478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2</v>
      </c>
      <c r="V18" s="1" t="n">
        <v>48028</v>
      </c>
      <c r="W18" s="1" t="n">
        <v>0</v>
      </c>
      <c r="X18" s="2" t="n">
        <v>848464</v>
      </c>
      <c r="Y18" s="1" t="s">
        <v>71</v>
      </c>
      <c r="Z18" s="3" t="n">
        <v>9136.53</v>
      </c>
      <c r="AA18" s="4" t="n">
        <v>19.85</v>
      </c>
      <c r="AB18" s="5" t="n">
        <v>40</v>
      </c>
      <c r="AC18" s="5" t="n">
        <v>153329</v>
      </c>
      <c r="AD18" s="6" t="n">
        <f aca="false">X18/12</f>
        <v>70705.3333333333</v>
      </c>
      <c r="AE18" s="7" t="n">
        <f aca="false">Z18/AD18</f>
        <v>0.129219813686851</v>
      </c>
      <c r="AF18" s="1"/>
    </row>
    <row r="19" customFormat="false" ht="15" hidden="false" customHeight="false" outlineLevel="0" collapsed="false">
      <c r="A19" s="1" t="n">
        <v>18</v>
      </c>
      <c r="B19" s="0" t="s">
        <v>131</v>
      </c>
      <c r="C19" s="0" t="s">
        <v>132</v>
      </c>
      <c r="D19" s="0" t="s">
        <v>133</v>
      </c>
      <c r="E19" s="0" t="s">
        <v>134</v>
      </c>
      <c r="F19" s="0" t="s">
        <v>63</v>
      </c>
      <c r="G19" s="0" t="n">
        <v>44052</v>
      </c>
      <c r="H19" s="1" t="s">
        <v>88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2" t="n">
        <v>544378.5</v>
      </c>
      <c r="Y19" s="1" t="s">
        <v>58</v>
      </c>
      <c r="Z19" s="3" t="n">
        <v>3666.43</v>
      </c>
      <c r="AA19" s="4" t="n">
        <v>23.95</v>
      </c>
      <c r="AB19" s="5" t="n">
        <v>11</v>
      </c>
      <c r="AC19" s="5" t="n">
        <v>155826</v>
      </c>
      <c r="AD19" s="6" t="n">
        <f aca="false">X19/12</f>
        <v>45364.875</v>
      </c>
      <c r="AE19" s="7" t="n">
        <f aca="false">Z19/AD19</f>
        <v>0.0808208994293492</v>
      </c>
      <c r="AF19" s="1"/>
    </row>
    <row r="20" customFormat="false" ht="15" hidden="false" customHeight="false" outlineLevel="0" collapsed="false">
      <c r="A20" s="1" t="n">
        <v>19</v>
      </c>
      <c r="B20" s="0" t="s">
        <v>135</v>
      </c>
      <c r="C20" s="0" t="s">
        <v>136</v>
      </c>
      <c r="D20" s="0" t="s">
        <v>137</v>
      </c>
      <c r="E20" s="0" t="s">
        <v>138</v>
      </c>
      <c r="F20" s="0" t="s">
        <v>139</v>
      </c>
      <c r="G20" s="0" t="n">
        <v>76006</v>
      </c>
      <c r="H20" s="1" t="s">
        <v>70</v>
      </c>
      <c r="I20" s="1" t="n">
        <v>0</v>
      </c>
      <c r="J20" s="1" t="n">
        <v>0</v>
      </c>
      <c r="K20" s="1" t="n">
        <v>0</v>
      </c>
      <c r="L20" s="1" t="n">
        <v>8</v>
      </c>
      <c r="M20" s="1" t="n">
        <v>27542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2" t="n">
        <v>544378.5</v>
      </c>
      <c r="Y20" s="1" t="s">
        <v>58</v>
      </c>
      <c r="Z20" s="3" t="n">
        <v>3666.43</v>
      </c>
      <c r="AA20" s="4" t="n">
        <v>23.95</v>
      </c>
      <c r="AB20" s="5" t="n">
        <v>11</v>
      </c>
      <c r="AC20" s="5" t="n">
        <v>155826</v>
      </c>
      <c r="AD20" s="6" t="n">
        <f aca="false">X20/12</f>
        <v>45364.875</v>
      </c>
      <c r="AE20" s="7" t="n">
        <f aca="false">Z20/AD20</f>
        <v>0.0808208994293492</v>
      </c>
      <c r="AF20" s="1"/>
    </row>
    <row r="21" customFormat="false" ht="15" hidden="false" customHeight="false" outlineLevel="0" collapsed="false">
      <c r="A21" s="1" t="n">
        <v>20</v>
      </c>
      <c r="B21" s="0" t="s">
        <v>140</v>
      </c>
      <c r="C21" s="0" t="s">
        <v>141</v>
      </c>
      <c r="D21" s="0" t="s">
        <v>142</v>
      </c>
      <c r="E21" s="0" t="s">
        <v>143</v>
      </c>
      <c r="F21" s="0" t="s">
        <v>56</v>
      </c>
      <c r="G21" s="0" t="n">
        <v>63033</v>
      </c>
      <c r="H21" s="1" t="s">
        <v>144</v>
      </c>
      <c r="I21" s="1" t="n">
        <v>1</v>
      </c>
      <c r="J21" s="1" t="n">
        <v>9277</v>
      </c>
      <c r="K21" s="1" t="n">
        <v>0</v>
      </c>
      <c r="L21" s="1" t="n">
        <v>7</v>
      </c>
      <c r="M21" s="1" t="n">
        <v>60651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1</v>
      </c>
      <c r="S21" s="1" t="n">
        <v>130508</v>
      </c>
      <c r="T21" s="1" t="n">
        <v>0</v>
      </c>
      <c r="U21" s="1" t="n">
        <v>1</v>
      </c>
      <c r="V21" s="1" t="n">
        <v>39581</v>
      </c>
      <c r="W21" s="1" t="n">
        <v>0</v>
      </c>
      <c r="X21" s="2" t="n">
        <v>1553212</v>
      </c>
      <c r="Y21" s="1" t="s">
        <v>44</v>
      </c>
      <c r="Z21" s="3" t="n">
        <v>9494.68</v>
      </c>
      <c r="AA21" s="4" t="n">
        <v>17.9</v>
      </c>
      <c r="AB21" s="5" t="n">
        <v>47</v>
      </c>
      <c r="AC21" s="5" t="n">
        <v>171787</v>
      </c>
      <c r="AD21" s="6" t="n">
        <f aca="false">X21/12</f>
        <v>129434.333333333</v>
      </c>
      <c r="AE21" s="7" t="n">
        <f aca="false">Z21/AD21</f>
        <v>0.0733551891177766</v>
      </c>
      <c r="AF21" s="1"/>
    </row>
  </sheetData>
  <conditionalFormatting sqref="Y18">
    <cfRule type="expression" priority="2" aboveAverage="0" equalAverage="0" bottom="0" percent="0" rank="0" text="" dxfId="0">
      <formula>COUNTIF(#ref!,#ref!)&gt;1</formula>
    </cfRule>
  </conditionalFormatting>
  <conditionalFormatting sqref="Y7">
    <cfRule type="expression" priority="3" aboveAverage="0" equalAverage="0" bottom="0" percent="0" rank="0" text="" dxfId="1">
      <formula>COUNTIF(#ref!,#ref!)&gt;1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LibreOffice/7.0.1.2$Linux_X86_64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2020-07-09T06:25:50Z</dcterms:created>
  <dc:creator>BK Inbasekaran</dc:creator>
  <dc:description/>
  <dc:language>en-US</dc:language>
  <cp:lastModifiedBy/>
  <dcterms:modified xsi:type="dcterms:W3CDTF">2020-09-24T10:54:21Z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